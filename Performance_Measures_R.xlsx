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lmbeachtpa-my.sharepoint.com/personal/skan_palmbeachmpo_org/Documents/Documents/"/>
    </mc:Choice>
  </mc:AlternateContent>
  <xr:revisionPtr revIDLastSave="292" documentId="8_{6E25A293-DAE1-403C-87C6-760DEF9E0950}" xr6:coauthVersionLast="47" xr6:coauthVersionMax="47" xr10:uidLastSave="{6B601152-700E-4F59-B056-B0454718EF4D}"/>
  <bookViews>
    <workbookView xWindow="28680" yWindow="-120" windowWidth="29040" windowHeight="15720" activeTab="6" xr2:uid="{47865025-DE32-4D87-A21F-3C532F9D4B3D}"/>
  </bookViews>
  <sheets>
    <sheet name="FATALITIES" sheetId="7" r:id="rId1"/>
    <sheet name="SERIOUS INJURIES" sheetId="8" r:id="rId2"/>
    <sheet name="PED FATINJ" sheetId="12" r:id="rId3"/>
    <sheet name="BIKE FATINJ" sheetId="13" r:id="rId4"/>
    <sheet name="BRIDGES" sheetId="14" r:id="rId5"/>
    <sheet name="PAVEMENT INTERSTATE" sheetId="15" r:id="rId6"/>
    <sheet name="PAVEMENT NON-INTERSTATE" sheetId="16" r:id="rId7"/>
    <sheet name="TTTR Index" sheetId="17" r:id="rId8"/>
    <sheet name="Int Reliability" sheetId="18" r:id="rId9"/>
    <sheet name="Non-Int Reliability" sheetId="19" r:id="rId10"/>
    <sheet name="FATALITIES COMP" sheetId="3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<sst xmlns="http://schemas.openxmlformats.org/spreadsheetml/2006/main" count="104" uniqueCount="83">
  <si>
    <t>Alachua</t>
  </si>
  <si>
    <t>Baker</t>
  </si>
  <si>
    <t>Bay</t>
  </si>
  <si>
    <t>Bradford</t>
  </si>
  <si>
    <t>Brevard</t>
  </si>
  <si>
    <t>Broward</t>
  </si>
  <si>
    <t>Calhoun</t>
  </si>
  <si>
    <t>Charlotte</t>
  </si>
  <si>
    <t>Citrus</t>
  </si>
  <si>
    <t>Clay</t>
  </si>
  <si>
    <t>Collier</t>
  </si>
  <si>
    <t>Columbia</t>
  </si>
  <si>
    <t>Desoto</t>
  </si>
  <si>
    <t>Dixie</t>
  </si>
  <si>
    <t>Duval</t>
  </si>
  <si>
    <t>Escambia</t>
  </si>
  <si>
    <t>Flagler</t>
  </si>
  <si>
    <t>Franklin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</si>
  <si>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</si>
  <si>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</si>
  <si>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</si>
  <si>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</si>
  <si>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</si>
  <si>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</si>
  <si>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</si>
  <si>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</si>
  <si>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</si>
  <si>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</si>
  <si>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</si>
  <si>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</si>
  <si>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Jackson</t>
  </si>
  <si>
    <t>Jefferson</t>
  </si>
  <si>
    <t>Lafayette</t>
  </si>
  <si>
    <t>Lake</t>
  </si>
  <si>
    <t>Lee</t>
  </si>
  <si>
    <t>Leon</t>
  </si>
  <si>
    <t>Levy</t>
  </si>
  <si>
    <t>Liberty</t>
  </si>
  <si>
    <t>Madison</t>
  </si>
  <si>
    <t>Manatee</t>
  </si>
  <si>
    <t>Marion</t>
  </si>
  <si>
    <t>Martin</t>
  </si>
  <si>
    <t>Miami-Dade</t>
  </si>
  <si>
    <t>Monroe</t>
  </si>
  <si>
    <t>Nassau</t>
  </si>
  <si>
    <t>Okaloosa</t>
  </si>
  <si>
    <t>Okeechobee</t>
  </si>
  <si>
    <t>Orange</t>
  </si>
  <si>
    <t>Osceola</t>
  </si>
  <si>
    <t>Palm Beach</t>
  </si>
  <si>
    <t>Pasco</t>
  </si>
  <si>
    <t>Pinellas</t>
  </si>
  <si>
    <t>Polk</t>
  </si>
  <si>
    <t>Putnam</t>
  </si>
  <si>
    <t>Santa Rosa</t>
  </si>
  <si>
    <t>Sarasota</t>
  </si>
  <si>
    <t>Seminole</t>
  </si>
  <si>
    <t>St Johns</t>
  </si>
  <si>
    <t>St Lucie</t>
  </si>
  <si>
    <t>Sumter</t>
  </si>
  <si>
    <t>Suwannee</t>
  </si>
  <si>
    <t>Taylor</t>
  </si>
  <si>
    <t>Union</t>
  </si>
  <si>
    <t>Volusia</t>
  </si>
  <si>
    <t>Wakulla</t>
  </si>
  <si>
    <t>Walton</t>
  </si>
  <si>
    <t>Washington</t>
  </si>
  <si>
    <t>YEAR</t>
  </si>
  <si>
    <t>Year</t>
  </si>
  <si>
    <t>Number</t>
  </si>
  <si>
    <t>Rate</t>
  </si>
  <si>
    <t>Fatalities</t>
  </si>
  <si>
    <t>Injuries</t>
  </si>
  <si>
    <t>Poor Condition</t>
  </si>
  <si>
    <t>Good Condition</t>
  </si>
  <si>
    <t>Good</t>
  </si>
  <si>
    <t>Poor</t>
  </si>
  <si>
    <t>Target Poor</t>
  </si>
  <si>
    <t>Target</t>
  </si>
  <si>
    <t>Realiability Ratio</t>
  </si>
  <si>
    <t>Realiable Miles</t>
  </si>
  <si>
    <t xml:space="preserve">Reliable Miles </t>
  </si>
  <si>
    <t>Target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</si>
</sst>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0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49" fontId="1" fillId="2" borderId="1" xfId="0" applyNumberFormat="1" applyFont="1" applyFill="1" applyBorder="1"/>
    <xf numFmtId="49" fontId="1" fillId="0" borderId="1" xfId="0" applyNumberFormat="1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1" applyNumberFormat="1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2" fontId="0" fillId="0" borderId="0" xfId="1" applyNumberFormat="1" applyFont="1" applyBorder="1" applyAlignment="1">
      <alignment vertical="center"/>
    </xf>
    <xf numFmtId="2" fontId="0" fillId="0" borderId="0" xfId="0" applyNumberFormat="1" applyAlignment="1">
      <alignment vertical="center"/>
    </xf>
    <xf numFmtId="164" fontId="0" fillId="0" borderId="0" xfId="1" applyNumberFormat="1" applyFont="1" applyBorder="1" applyAlignment="1">
      <alignment vertical="center"/>
    </xf>
    <xf numFmtId="2" fontId="0" fillId="0" borderId="0" xfId="0" applyNumberFormat="1"/>
  </cellXfs>
  <cellStyles count="2">
    <cellStyle name="Normal" xfId="0" builtinId="0"/>
    <cellStyle name="Percent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E9F3B-BA9E-497C-8DE5-DBDC8EE87CC9}">
  <dimension ref="A1:C8"/>
  <sheetViews>
    <sheetView workbookViewId="0">
      <selection activeCell="C12" sqref="C12"/>
    </sheetView>
  </sheetViews>
  <sheetFormatPr defaultRowHeight="15" x14ac:dyDescent="0.25"/>
  <cols>
    <col min="2" max="2" width="18.8554687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7">
        <v>183</v>
      </c>
      <c r="C2">
        <v>1.29</v>
      </c>
    </row>
    <row r="3" spans="1:3" x14ac:dyDescent="0.25">
      <c r="A3">
        <v>2019</v>
      </c>
      <c r="B3" s="7">
        <v>174</v>
      </c>
      <c r="C3">
        <v>1.21</v>
      </c>
    </row>
    <row r="4" spans="1:3" x14ac:dyDescent="0.25">
      <c r="A4">
        <v>2020</v>
      </c>
      <c r="B4" s="7">
        <v>185</v>
      </c>
      <c r="C4">
        <v>1.4</v>
      </c>
    </row>
    <row r="5" spans="1:3" x14ac:dyDescent="0.25">
      <c r="A5">
        <v>2021</v>
      </c>
      <c r="B5" s="7">
        <v>215</v>
      </c>
      <c r="C5">
        <v>1.56</v>
      </c>
    </row>
    <row r="6" spans="1:3" x14ac:dyDescent="0.25">
      <c r="A6">
        <v>2022</v>
      </c>
      <c r="B6" s="7">
        <v>226</v>
      </c>
      <c r="C6">
        <v>1.63</v>
      </c>
    </row>
    <row r="7" spans="1:3" x14ac:dyDescent="0.25">
      <c r="A7">
        <v>2023</v>
      </c>
      <c r="B7" s="7">
        <v>181</v>
      </c>
      <c r="C7">
        <v>1.22</v>
      </c>
    </row>
    <row r="8" spans="1:3" x14ac:dyDescent="0.25">
      <c r="A8">
        <v>2024</v>
      </c>
      <c r="B8" s="7">
        <v>210</v>
      </c>
      <c r="C8">
        <v>1.38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906-E774-4362-B18C-74A3CE45CFF8}">
  <dimension ref="A1:C8"/>
  <sheetViews>
    <sheetView workbookViewId="0">
      <selection activeCell="B2" sqref="B2:B8"/>
    </sheetView>
  </sheetViews>
  <sheetFormatPr defaultRowHeight="15" x14ac:dyDescent="0.25"/>
  <cols>
    <col min="2" max="2" width="14.570312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9">
        <v>1194</v>
      </c>
      <c r="C2" s="8">
        <v>8.42</v>
      </c>
    </row>
    <row r="3" spans="1:3" x14ac:dyDescent="0.25">
      <c r="A3">
        <v>2019</v>
      </c>
      <c r="B3" s="9">
        <v>1020</v>
      </c>
      <c r="C3" s="8">
        <v>7.08</v>
      </c>
    </row>
    <row r="4" spans="1:3" x14ac:dyDescent="0.25">
      <c r="A4">
        <v>2020</v>
      </c>
      <c r="B4" s="10">
        <v>916</v>
      </c>
      <c r="C4" s="8">
        <v>6.91</v>
      </c>
    </row>
    <row r="5" spans="1:3" x14ac:dyDescent="0.25">
      <c r="A5">
        <v>2021</v>
      </c>
      <c r="B5" s="10">
        <v>890</v>
      </c>
      <c r="C5" s="8">
        <v>6.45</v>
      </c>
    </row>
    <row r="6" spans="1:3" x14ac:dyDescent="0.25">
      <c r="A6">
        <v>2022</v>
      </c>
      <c r="B6" s="10">
        <v>818</v>
      </c>
      <c r="C6" s="8">
        <v>5.73</v>
      </c>
    </row>
    <row r="7" spans="1:3" x14ac:dyDescent="0.25">
      <c r="A7">
        <v>2023</v>
      </c>
      <c r="B7" s="10">
        <v>766</v>
      </c>
      <c r="C7" s="8">
        <v>5.16</v>
      </c>
    </row>
    <row r="8" spans="1:3" x14ac:dyDescent="0.25">
      <c r="A8">
        <v>2024</v>
      </c>
      <c r="B8" s="7">
        <v>683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CF1F-DA10-4F3C-BBFE-3F6465156627}">
  <dimension ref="A1:C8"/>
  <sheetViews>
    <sheetView workbookViewId="0">
      <selection activeCell="D1" sqref="D1:D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43</v>
      </c>
      <c r="C2" s="11">
        <v>101</v>
      </c>
    </row>
    <row r="3" spans="1:3" x14ac:dyDescent="0.25">
      <c r="A3">
        <v>2019</v>
      </c>
      <c r="B3" s="11">
        <v>43</v>
      </c>
      <c r="C3" s="11">
        <v>113</v>
      </c>
    </row>
    <row r="4" spans="1:3" x14ac:dyDescent="0.25">
      <c r="A4">
        <v>2020</v>
      </c>
      <c r="B4" s="11">
        <v>44</v>
      </c>
      <c r="C4" s="11">
        <v>83</v>
      </c>
    </row>
    <row r="5" spans="1:3" x14ac:dyDescent="0.25">
      <c r="A5">
        <v>2021</v>
      </c>
      <c r="B5" s="11">
        <v>49</v>
      </c>
      <c r="C5" s="11">
        <v>89</v>
      </c>
    </row>
    <row r="6" spans="1:3" x14ac:dyDescent="0.25">
      <c r="A6">
        <v>2022</v>
      </c>
      <c r="B6" s="11">
        <v>56</v>
      </c>
      <c r="C6" s="11">
        <v>92</v>
      </c>
    </row>
    <row r="7" spans="1:3" x14ac:dyDescent="0.25">
      <c r="A7">
        <v>2023</v>
      </c>
      <c r="B7" s="11">
        <v>46</v>
      </c>
      <c r="C7" s="11">
        <v>90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C92-FA59-4C0B-BE43-3045F1F2387D}">
  <dimension ref="A1:C8"/>
  <sheetViews>
    <sheetView workbookViewId="0">
      <selection sqref="A1:A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6</v>
      </c>
      <c r="C2" s="11">
        <v>64</v>
      </c>
    </row>
    <row r="3" spans="1:3" x14ac:dyDescent="0.25">
      <c r="A3">
        <v>2019</v>
      </c>
      <c r="B3" s="11">
        <v>5</v>
      </c>
      <c r="C3" s="11">
        <v>56</v>
      </c>
    </row>
    <row r="4" spans="1:3" x14ac:dyDescent="0.25">
      <c r="A4">
        <v>2020</v>
      </c>
      <c r="B4" s="11">
        <v>12</v>
      </c>
      <c r="C4" s="11">
        <v>59</v>
      </c>
    </row>
    <row r="5" spans="1:3" x14ac:dyDescent="0.25">
      <c r="A5">
        <v>2021</v>
      </c>
      <c r="B5" s="11">
        <v>8</v>
      </c>
      <c r="C5" s="11">
        <v>44</v>
      </c>
    </row>
    <row r="6" spans="1:3" x14ac:dyDescent="0.25">
      <c r="A6">
        <v>2022</v>
      </c>
      <c r="B6" s="11">
        <v>14</v>
      </c>
      <c r="C6" s="11">
        <v>39</v>
      </c>
    </row>
    <row r="7" spans="1:3" x14ac:dyDescent="0.25">
      <c r="A7">
        <v>2023</v>
      </c>
      <c r="B7" s="11">
        <v>11</v>
      </c>
      <c r="C7" s="11">
        <v>52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0512-11B4-4E63-A14D-F810CE5069FA}">
  <dimension ref="A1:E9"/>
  <sheetViews>
    <sheetView workbookViewId="0">
      <selection sqref="A1:E9"/>
    </sheetView>
  </sheetViews>
  <sheetFormatPr defaultRowHeight="15" x14ac:dyDescent="0.25"/>
  <cols>
    <col min="2" max="2" width="23" customWidth="1"/>
    <col min="3" max="3" width="17.85546875" customWidth="1"/>
    <col min="4" max="4" width="11.42578125" customWidth="1"/>
    <col min="5" max="5" width="10.28515625" customWidth="1"/>
  </cols>
  <sheetData>
    <row r="1" spans="1:5" x14ac:dyDescent="0.25">
      <c r="A1" t="s">
        <v>68</v>
      </c>
      <c r="B1" t="s">
        <v>74</v>
      </c>
      <c r="C1" t="s">
        <v>73</v>
      </c>
      <c r="D1" t="s">
        <v>82</v>
      </c>
      <c r="E1" t="s">
        <v>77</v>
      </c>
    </row>
    <row r="2" spans="1:5" x14ac:dyDescent="0.25">
      <c r="A2">
        <v>2017</v>
      </c>
      <c r="B2" s="12">
        <v>0.87660000000000005</v>
      </c>
      <c r="C2" s="12">
        <v>1.1599999999999999E-2</v>
      </c>
      <c r="D2" s="15">
        <v>0.5</v>
      </c>
      <c r="E2" s="15">
        <v>0.05</v>
      </c>
    </row>
    <row r="3" spans="1:5" x14ac:dyDescent="0.25">
      <c r="A3">
        <v>2018</v>
      </c>
      <c r="B3" s="12">
        <v>0.87439999999999996</v>
      </c>
      <c r="C3" s="12">
        <v>1.04E-2</v>
      </c>
      <c r="D3" s="15">
        <v>0.5</v>
      </c>
      <c r="E3" s="15">
        <v>0.05</v>
      </c>
    </row>
    <row r="4" spans="1:5" x14ac:dyDescent="0.25">
      <c r="A4">
        <v>2019</v>
      </c>
      <c r="B4" s="12">
        <v>0.8518</v>
      </c>
      <c r="C4" s="12">
        <v>1.0200000000000001E-2</v>
      </c>
      <c r="D4" s="15">
        <v>0.5</v>
      </c>
      <c r="E4" s="15">
        <v>0.05</v>
      </c>
    </row>
    <row r="5" spans="1:5" x14ac:dyDescent="0.25">
      <c r="A5">
        <v>2020</v>
      </c>
      <c r="B5" s="13">
        <v>0.82230000000000003</v>
      </c>
      <c r="C5" s="13">
        <v>1.03E-2</v>
      </c>
      <c r="D5" s="15">
        <v>0.5</v>
      </c>
      <c r="E5" s="15">
        <v>0.05</v>
      </c>
    </row>
    <row r="6" spans="1:5" x14ac:dyDescent="0.25">
      <c r="A6">
        <v>2021</v>
      </c>
      <c r="B6" s="13">
        <v>0.82099999999999995</v>
      </c>
      <c r="C6" s="13">
        <v>1.03E-2</v>
      </c>
      <c r="D6" s="15">
        <v>0.5</v>
      </c>
      <c r="E6" s="15">
        <v>0.05</v>
      </c>
    </row>
    <row r="7" spans="1:5" x14ac:dyDescent="0.25">
      <c r="A7">
        <v>2022</v>
      </c>
      <c r="B7" s="13">
        <v>0.81659999999999999</v>
      </c>
      <c r="C7" s="13">
        <v>2.2099999999999998E-2</v>
      </c>
      <c r="D7" s="15">
        <v>0.5</v>
      </c>
      <c r="E7" s="15">
        <v>0.05</v>
      </c>
    </row>
    <row r="8" spans="1:5" x14ac:dyDescent="0.25">
      <c r="A8">
        <v>2023</v>
      </c>
      <c r="B8" s="13">
        <v>0.8417</v>
      </c>
      <c r="C8" s="13">
        <v>0</v>
      </c>
      <c r="D8" s="15">
        <v>0.5</v>
      </c>
      <c r="E8" s="15">
        <v>0.05</v>
      </c>
    </row>
    <row r="9" spans="1:5" x14ac:dyDescent="0.25">
      <c r="A9">
        <v>2024</v>
      </c>
      <c r="B9" s="13">
        <v>0.83230000000000004</v>
      </c>
      <c r="C9" s="13">
        <v>0</v>
      </c>
      <c r="D9" s="15">
        <v>0.5</v>
      </c>
      <c r="E9" s="15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20D99-1FC4-4882-8732-94F3CEFC30AD}">
  <dimension ref="A1:E10"/>
  <sheetViews>
    <sheetView workbookViewId="0">
      <selection sqref="A1:E10"/>
    </sheetView>
  </sheetViews>
  <sheetFormatPr defaultRowHeight="15" x14ac:dyDescent="0.25"/>
  <cols>
    <col min="4" max="4" width="17.57031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0.62443452234924668</v>
      </c>
      <c r="C2" s="14">
        <v>0</v>
      </c>
      <c r="D2" s="15">
        <v>0.6</v>
      </c>
      <c r="E2" s="15">
        <v>0.05</v>
      </c>
    </row>
    <row r="3" spans="1:5" x14ac:dyDescent="0.25">
      <c r="A3">
        <v>2017</v>
      </c>
      <c r="B3" s="14">
        <v>0.55162388800839957</v>
      </c>
      <c r="C3" s="14">
        <v>0</v>
      </c>
      <c r="D3" s="15">
        <v>0.6</v>
      </c>
      <c r="E3" s="15">
        <v>0.05</v>
      </c>
    </row>
    <row r="4" spans="1:5" x14ac:dyDescent="0.25">
      <c r="A4">
        <v>2018</v>
      </c>
      <c r="B4" s="14">
        <v>0.23152561717146494</v>
      </c>
      <c r="C4" s="14">
        <v>0</v>
      </c>
      <c r="D4" s="15">
        <v>0.6</v>
      </c>
      <c r="E4" s="15">
        <v>0.05</v>
      </c>
    </row>
    <row r="5" spans="1:5" x14ac:dyDescent="0.25">
      <c r="A5">
        <v>2019</v>
      </c>
      <c r="B5" s="14">
        <v>0.6120405364892294</v>
      </c>
      <c r="C5" s="14">
        <v>0</v>
      </c>
      <c r="D5" s="15">
        <v>0.6</v>
      </c>
      <c r="E5" s="15">
        <v>0.05</v>
      </c>
    </row>
    <row r="6" spans="1:5" x14ac:dyDescent="0.25">
      <c r="A6">
        <v>2020</v>
      </c>
      <c r="B6" s="14">
        <v>0.53156185428499947</v>
      </c>
      <c r="C6" s="14">
        <v>2.3164663695412471E-3</v>
      </c>
      <c r="D6" s="15">
        <v>0.6</v>
      </c>
      <c r="E6" s="15">
        <v>0.05</v>
      </c>
    </row>
    <row r="7" spans="1:5" x14ac:dyDescent="0.25">
      <c r="A7">
        <v>2021</v>
      </c>
      <c r="B7" s="14">
        <v>0.59548474375249016</v>
      </c>
      <c r="C7" s="14">
        <v>0</v>
      </c>
      <c r="D7" s="15">
        <v>0.6</v>
      </c>
      <c r="E7" s="15">
        <v>0.05</v>
      </c>
    </row>
    <row r="8" spans="1:5" x14ac:dyDescent="0.25">
      <c r="A8">
        <v>2022</v>
      </c>
      <c r="B8" s="14">
        <v>0.64978966485364564</v>
      </c>
      <c r="C8" s="14">
        <v>0</v>
      </c>
      <c r="D8" s="15">
        <v>0.6</v>
      </c>
      <c r="E8" s="15">
        <v>0.05</v>
      </c>
    </row>
    <row r="9" spans="1:5" x14ac:dyDescent="0.25">
      <c r="A9">
        <v>2023</v>
      </c>
      <c r="B9" s="14">
        <v>0.67284019126365335</v>
      </c>
      <c r="C9" s="14">
        <v>0</v>
      </c>
      <c r="D9" s="15">
        <v>0.6</v>
      </c>
      <c r="E9" s="15">
        <v>0.05</v>
      </c>
    </row>
    <row r="10" spans="1:5" x14ac:dyDescent="0.25">
      <c r="A10">
        <v>2024</v>
      </c>
      <c r="B10" s="14">
        <v>0.54689337525889492</v>
      </c>
      <c r="C10" s="14">
        <v>0</v>
      </c>
      <c r="D10" s="15">
        <v>0.6</v>
      </c>
      <c r="E10" s="15">
        <v>0.05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0A97D-C280-43BD-9CE7-FD2678F34525}">
  <dimension ref="A1:E10"/>
  <sheetViews>
    <sheetView tabSelected="1" workbookViewId="0">
      <selection sqref="A1:E9"/>
    </sheetView>
  </sheetViews>
  <sheetFormatPr defaultRowHeight="15" x14ac:dyDescent="0.25"/>
  <cols>
    <col min="4" max="4" width="12.1406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0.41732931876094154</v>
      </c>
      <c r="C2" s="14">
        <v>4.133293028811119E-3</v>
      </c>
      <c r="D2" s="15">
        <v>0.4</v>
      </c>
      <c r="E2" s="15">
        <v>0.05</v>
      </c>
    </row>
    <row r="3" spans="1:5" x14ac:dyDescent="0.25">
      <c r="A3">
        <v>2017</v>
      </c>
      <c r="B3" s="14">
        <v>0.40326727732291612</v>
      </c>
      <c r="C3" s="14">
        <v>4.7433807541014108E-3</v>
      </c>
      <c r="D3" s="15">
        <v>0.4</v>
      </c>
      <c r="E3" s="15">
        <v>0.05</v>
      </c>
    </row>
    <row r="4" spans="1:5" x14ac:dyDescent="0.25">
      <c r="A4">
        <v>2018</v>
      </c>
      <c r="B4" s="14">
        <v>0.3993237399368687</v>
      </c>
      <c r="C4" s="14">
        <v>1.1041547082289223E-3</v>
      </c>
      <c r="D4" s="15">
        <v>0.4</v>
      </c>
      <c r="E4" s="15">
        <v>0.05</v>
      </c>
    </row>
    <row r="5" spans="1:5" x14ac:dyDescent="0.25">
      <c r="A5">
        <v>2019</v>
      </c>
      <c r="B5" s="14">
        <v>0.44012189345761077</v>
      </c>
      <c r="C5" s="14">
        <v>7.7127374554185454E-4</v>
      </c>
      <c r="D5" s="15">
        <v>0.4</v>
      </c>
      <c r="E5" s="15">
        <v>0.05</v>
      </c>
    </row>
    <row r="6" spans="1:5" x14ac:dyDescent="0.25">
      <c r="A6">
        <v>2020</v>
      </c>
      <c r="B6" s="14"/>
      <c r="C6" s="14"/>
      <c r="D6" s="15">
        <v>0.4</v>
      </c>
      <c r="E6" s="15">
        <v>0.05</v>
      </c>
    </row>
    <row r="7" spans="1:5" x14ac:dyDescent="0.25">
      <c r="A7">
        <v>2021</v>
      </c>
      <c r="B7" s="14">
        <v>0.45140422172861489</v>
      </c>
      <c r="C7" s="14">
        <v>1.1865054133893733E-2</v>
      </c>
      <c r="D7" s="15">
        <v>0.4</v>
      </c>
      <c r="E7" s="15">
        <v>0.05</v>
      </c>
    </row>
    <row r="8" spans="1:5" x14ac:dyDescent="0.25">
      <c r="A8">
        <v>2022</v>
      </c>
      <c r="B8" s="14">
        <v>0.53310737351607596</v>
      </c>
      <c r="C8" s="14">
        <v>1.1247159960461604E-2</v>
      </c>
      <c r="D8" s="15">
        <v>0.4</v>
      </c>
      <c r="E8" s="15">
        <v>0.05</v>
      </c>
    </row>
    <row r="9" spans="1:5" x14ac:dyDescent="0.25">
      <c r="A9">
        <v>2023</v>
      </c>
      <c r="B9" s="14">
        <v>0.56439990042298305</v>
      </c>
      <c r="C9" s="14">
        <v>5.872631344607763E-3</v>
      </c>
      <c r="D9" s="15">
        <v>0.4</v>
      </c>
      <c r="E9" s="15">
        <v>0.05</v>
      </c>
    </row>
    <row r="10" spans="1:5" x14ac:dyDescent="0.25">
      <c r="A10">
        <v>2024</v>
      </c>
      <c r="B10" s="14">
        <v>0.56348839111292615</v>
      </c>
      <c r="C10" s="14">
        <v>5.0004473506685835E-3</v>
      </c>
      <c r="D10" s="15">
        <v>0.4</v>
      </c>
      <c r="E10" s="15">
        <v>0.05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3A857-D05E-4917-9408-63BAE4D13234}">
  <dimension ref="A1:C9"/>
  <sheetViews>
    <sheetView workbookViewId="0">
      <selection activeCell="I12" sqref="I12"/>
    </sheetView>
  </sheetViews>
  <sheetFormatPr defaultRowHeight="15" x14ac:dyDescent="0.25"/>
  <cols>
    <col min="2" max="2" width="17" customWidth="1"/>
  </cols>
  <sheetData>
    <row r="1" spans="1:3" x14ac:dyDescent="0.25">
      <c r="A1" t="s">
        <v>68</v>
      </c>
      <c r="B1" t="s">
        <v>79</v>
      </c>
      <c r="C1" t="s">
        <v>78</v>
      </c>
    </row>
    <row r="2" spans="1:3" x14ac:dyDescent="0.25">
      <c r="A2">
        <v>2017</v>
      </c>
      <c r="B2" s="16">
        <v>1.63</v>
      </c>
      <c r="C2" s="19">
        <v>2</v>
      </c>
    </row>
    <row r="3" spans="1:3" x14ac:dyDescent="0.25">
      <c r="A3">
        <v>2018</v>
      </c>
      <c r="B3" s="16">
        <v>1.77</v>
      </c>
      <c r="C3" s="19">
        <v>2</v>
      </c>
    </row>
    <row r="4" spans="1:3" x14ac:dyDescent="0.25">
      <c r="A4">
        <v>2019</v>
      </c>
      <c r="B4" s="16">
        <v>1.86</v>
      </c>
      <c r="C4" s="19">
        <v>2</v>
      </c>
    </row>
    <row r="5" spans="1:3" x14ac:dyDescent="0.25">
      <c r="A5">
        <v>2020</v>
      </c>
      <c r="B5" s="17">
        <v>1.66</v>
      </c>
      <c r="C5" s="19">
        <v>2</v>
      </c>
    </row>
    <row r="6" spans="1:3" x14ac:dyDescent="0.25">
      <c r="A6">
        <v>2021</v>
      </c>
      <c r="B6" s="17">
        <v>1.78</v>
      </c>
      <c r="C6" s="19">
        <v>2</v>
      </c>
    </row>
    <row r="7" spans="1:3" x14ac:dyDescent="0.25">
      <c r="A7">
        <v>2022</v>
      </c>
      <c r="B7" s="17">
        <v>1.95</v>
      </c>
      <c r="C7" s="19">
        <v>2</v>
      </c>
    </row>
    <row r="8" spans="1:3" x14ac:dyDescent="0.25">
      <c r="A8">
        <v>2023</v>
      </c>
      <c r="B8" s="17">
        <v>2.02</v>
      </c>
      <c r="C8" s="19">
        <v>2</v>
      </c>
    </row>
    <row r="9" spans="1:3" x14ac:dyDescent="0.25">
      <c r="A9">
        <v>2024</v>
      </c>
      <c r="B9" s="17">
        <v>2.09</v>
      </c>
      <c r="C9" s="19">
        <v>2</v>
      </c>
    </row>
  </sheetData>
  <conditionalFormatting sqref="B2:B9">
    <cfRule type="expression" dxfId="2" priority="1">
      <formula>#REF!=B2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D0083-044C-43F3-8315-2A23C120E975}">
  <dimension ref="A1:C9"/>
  <sheetViews>
    <sheetView workbookViewId="0">
      <selection activeCell="G7" sqref="G7"/>
    </sheetView>
  </sheetViews>
  <sheetFormatPr defaultRowHeight="15" x14ac:dyDescent="0.25"/>
  <cols>
    <col min="2" max="2" width="17.5703125" customWidth="1"/>
  </cols>
  <sheetData>
    <row r="1" spans="1:3" x14ac:dyDescent="0.25">
      <c r="A1" t="s">
        <v>68</v>
      </c>
      <c r="B1" t="s">
        <v>80</v>
      </c>
      <c r="C1" t="s">
        <v>78</v>
      </c>
    </row>
    <row r="2" spans="1:3" x14ac:dyDescent="0.25">
      <c r="A2">
        <v>2017</v>
      </c>
      <c r="B2" s="18">
        <v>0.85399999999999998</v>
      </c>
      <c r="C2" s="15">
        <v>0.7</v>
      </c>
    </row>
    <row r="3" spans="1:3" x14ac:dyDescent="0.25">
      <c r="A3">
        <v>2018</v>
      </c>
      <c r="B3" s="18">
        <v>0.85399999999999998</v>
      </c>
      <c r="C3" s="15">
        <v>0.7</v>
      </c>
    </row>
    <row r="4" spans="1:3" x14ac:dyDescent="0.25">
      <c r="A4">
        <v>2019</v>
      </c>
      <c r="B4" s="18">
        <v>0.78</v>
      </c>
      <c r="C4" s="15">
        <v>0.7</v>
      </c>
    </row>
    <row r="5" spans="1:3" x14ac:dyDescent="0.25">
      <c r="A5">
        <v>2020</v>
      </c>
      <c r="B5" s="13">
        <v>0.93600000000000005</v>
      </c>
      <c r="C5" s="15">
        <v>0.7</v>
      </c>
    </row>
    <row r="6" spans="1:3" x14ac:dyDescent="0.25">
      <c r="A6">
        <v>2021</v>
      </c>
      <c r="B6" s="13">
        <v>0.83099999999999996</v>
      </c>
      <c r="C6" s="15">
        <v>0.7</v>
      </c>
    </row>
    <row r="7" spans="1:3" x14ac:dyDescent="0.25">
      <c r="A7">
        <v>2022</v>
      </c>
      <c r="B7" s="13">
        <v>0.77600000000000002</v>
      </c>
      <c r="C7" s="15">
        <v>0.7</v>
      </c>
    </row>
    <row r="8" spans="1:3" x14ac:dyDescent="0.25">
      <c r="A8">
        <v>2023</v>
      </c>
      <c r="B8" s="13">
        <v>0.755</v>
      </c>
      <c r="C8" s="15">
        <v>0.7</v>
      </c>
    </row>
    <row r="9" spans="1:3" x14ac:dyDescent="0.25">
      <c r="A9">
        <v>2024</v>
      </c>
      <c r="B9" s="13">
        <v>0.623</v>
      </c>
      <c r="C9" s="15">
        <v>0.7</v>
      </c>
    </row>
  </sheetData>
  <conditionalFormatting sqref="B2:B9">
    <cfRule type="expression" dxfId="1" priority="1">
      <formula>#REF!=B2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9C645-8F86-45BC-BA51-DC3AF3602CC7}">
  <dimension ref="A1:C9"/>
  <sheetViews>
    <sheetView workbookViewId="0">
      <selection activeCell="C2" sqref="C2:C9"/>
    </sheetView>
  </sheetViews>
  <sheetFormatPr defaultRowHeight="15" x14ac:dyDescent="0.25"/>
  <cols>
    <col min="2" max="2" width="13.28515625" customWidth="1"/>
  </cols>
  <sheetData>
    <row r="1" spans="1:3" x14ac:dyDescent="0.25">
      <c r="A1" t="s">
        <v>68</v>
      </c>
      <c r="B1" t="s">
        <v>81</v>
      </c>
      <c r="C1" t="s">
        <v>78</v>
      </c>
    </row>
    <row r="2" spans="1:3" x14ac:dyDescent="0.25">
      <c r="A2">
        <v>2017</v>
      </c>
      <c r="B2" s="18">
        <v>0.91</v>
      </c>
      <c r="C2" s="15">
        <v>0.5</v>
      </c>
    </row>
    <row r="3" spans="1:3" x14ac:dyDescent="0.25">
      <c r="A3">
        <v>2018</v>
      </c>
      <c r="B3" s="18">
        <v>0.93100000000000005</v>
      </c>
      <c r="C3" s="15">
        <v>0.5</v>
      </c>
    </row>
    <row r="4" spans="1:3" x14ac:dyDescent="0.25">
      <c r="A4">
        <v>2019</v>
      </c>
      <c r="B4" s="18">
        <v>0.94</v>
      </c>
      <c r="C4" s="15">
        <v>0.5</v>
      </c>
    </row>
    <row r="5" spans="1:3" x14ac:dyDescent="0.25">
      <c r="A5">
        <v>2020</v>
      </c>
      <c r="B5" s="13">
        <v>0.98</v>
      </c>
      <c r="C5" s="15">
        <v>0.5</v>
      </c>
    </row>
    <row r="6" spans="1:3" x14ac:dyDescent="0.25">
      <c r="A6">
        <v>2021</v>
      </c>
      <c r="B6" s="13">
        <v>0.96799999999999997</v>
      </c>
      <c r="C6" s="15">
        <v>0.5</v>
      </c>
    </row>
    <row r="7" spans="1:3" x14ac:dyDescent="0.25">
      <c r="A7">
        <v>2022</v>
      </c>
      <c r="B7" s="13">
        <v>0.92400000000000004</v>
      </c>
      <c r="C7" s="15">
        <v>0.5</v>
      </c>
    </row>
    <row r="8" spans="1:3" x14ac:dyDescent="0.25">
      <c r="A8">
        <v>2023</v>
      </c>
      <c r="B8" s="13">
        <v>0.89200000000000002</v>
      </c>
      <c r="C8" s="15">
        <v>0.5</v>
      </c>
    </row>
    <row r="9" spans="1:3" x14ac:dyDescent="0.25">
      <c r="A9">
        <v>2024</v>
      </c>
      <c r="B9" s="13">
        <v>0.86799999999999999</v>
      </c>
      <c r="C9" s="15">
        <v>0.5</v>
      </c>
    </row>
  </sheetData>
  <conditionalFormatting sqref="B2:B9">
    <cfRule type="expression" dxfId="0" priority="1">
      <formula>#REF!=B2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782D-92DC-4DC3-BB49-53C081EF8C06}">
  <dimension ref="A1:BP8"/>
  <sheetViews>
    <sheetView topLeftCell="AS1" workbookViewId="0">
      <selection activeCell="AY2" sqref="AY2:AY8"/>
    </sheetView>
  </sheetViews>
  <sheetFormatPr defaultRowHeight="15" x14ac:dyDescent="0.25"/>
  <sheetData>
    <row r="1" spans="1:68" x14ac:dyDescent="0.25">
      <c r="A1" t="s">
        <v>67</v>
      </c>
      <c r="B1" s="5" t="s">
        <v>0</v>
      </c>
      <c r="C1" s="6" t="s">
        <v>1</v>
      </c>
      <c r="D1" s="5" t="s">
        <v>2</v>
      </c>
      <c r="E1" s="6" t="s">
        <v>3</v>
      </c>
      <c r="F1" s="5" t="s">
        <v>4</v>
      </c>
      <c r="G1" s="6" t="s">
        <v>5</v>
      </c>
      <c r="H1" s="5" t="s">
        <v>6</v>
      </c>
      <c r="I1" s="6" t="s">
        <v>7</v>
      </c>
      <c r="J1" s="5" t="s">
        <v>8</v>
      </c>
      <c r="K1" s="6" t="s">
        <v>9</v>
      </c>
      <c r="L1" s="5" t="s">
        <v>10</v>
      </c>
      <c r="M1" s="6" t="s">
        <v>11</v>
      </c>
      <c r="N1" s="5" t="s">
        <v>12</v>
      </c>
      <c r="O1" s="6" t="s">
        <v>13</v>
      </c>
      <c r="P1" s="5" t="s">
        <v>14</v>
      </c>
      <c r="Q1" s="6" t="s">
        <v>15</v>
      </c>
      <c r="R1" s="5" t="s">
        <v>16</v>
      </c>
      <c r="S1" s="6" t="s">
        <v>17</v>
      </c>
      <c r="T1" s="5" t="s">
        <v>18</v>
      </c>
      <c r="U1" s="6" t="s">
        <v>19</v>
      </c>
      <c r="V1" s="5" t="s">
        <v>20</v>
      </c>
      <c r="W1" s="6" t="s">
        <v>21</v>
      </c>
      <c r="X1" s="5" t="s">
        <v>22</v>
      </c>
      <c r="Y1" s="6" t="s">
        <v>23</v>
      </c>
      <c r="Z1" s="5" t="s">
        <v>24</v>
      </c>
      <c r="AA1" s="6" t="s">
        <v>25</v>
      </c>
      <c r="AB1" s="5" t="s">
        <v>26</v>
      </c>
      <c r="AC1" s="6" t="s">
        <v>27</v>
      </c>
      <c r="AD1" s="5" t="s">
        <v>28</v>
      </c>
      <c r="AE1" s="6" t="s">
        <v>29</v>
      </c>
      <c r="AF1" s="5" t="s">
        <v>30</v>
      </c>
      <c r="AG1" s="6" t="s">
        <v>31</v>
      </c>
      <c r="AH1" s="5" t="s">
        <v>32</v>
      </c>
      <c r="AI1" s="6" t="s">
        <v>33</v>
      </c>
      <c r="AJ1" s="5" t="s">
        <v>34</v>
      </c>
      <c r="AK1" s="6" t="s">
        <v>35</v>
      </c>
      <c r="AL1" s="5" t="s">
        <v>36</v>
      </c>
      <c r="AM1" s="6" t="s">
        <v>37</v>
      </c>
      <c r="AN1" s="5" t="s">
        <v>38</v>
      </c>
      <c r="AO1" s="6" t="s">
        <v>39</v>
      </c>
      <c r="AP1" s="5" t="s">
        <v>40</v>
      </c>
      <c r="AQ1" s="6" t="s">
        <v>41</v>
      </c>
      <c r="AR1" s="5" t="s">
        <v>42</v>
      </c>
      <c r="AS1" s="6" t="s">
        <v>43</v>
      </c>
      <c r="AT1" s="5" t="s">
        <v>44</v>
      </c>
      <c r="AU1" s="6" t="s">
        <v>45</v>
      </c>
      <c r="AV1" s="5" t="s">
        <v>46</v>
      </c>
      <c r="AW1" s="6" t="s">
        <v>47</v>
      </c>
      <c r="AX1" s="5" t="s">
        <v>48</v>
      </c>
      <c r="AY1" s="6" t="s">
        <v>49</v>
      </c>
      <c r="AZ1" s="5" t="s">
        <v>50</v>
      </c>
      <c r="BA1" s="6" t="s">
        <v>51</v>
      </c>
      <c r="BB1" s="5" t="s">
        <v>52</v>
      </c>
      <c r="BC1" s="6" t="s">
        <v>53</v>
      </c>
      <c r="BD1" s="5" t="s">
        <v>54</v>
      </c>
      <c r="BE1" s="6" t="s">
        <v>55</v>
      </c>
      <c r="BF1" s="5" t="s">
        <v>56</v>
      </c>
      <c r="BG1" s="6" t="s">
        <v>57</v>
      </c>
      <c r="BH1" s="5" t="s">
        <v>58</v>
      </c>
      <c r="BI1" s="6" t="s">
        <v>59</v>
      </c>
      <c r="BJ1" s="5" t="s">
        <v>60</v>
      </c>
      <c r="BK1" s="6" t="s">
        <v>61</v>
      </c>
      <c r="BL1" s="5" t="s">
        <v>62</v>
      </c>
      <c r="BM1" s="6" t="s">
        <v>63</v>
      </c>
      <c r="BN1" s="5" t="s">
        <v>64</v>
      </c>
      <c r="BO1" s="6" t="s">
        <v>65</v>
      </c>
      <c r="BP1" s="5" t="s">
        <v>66</v>
      </c>
    </row>
    <row r="2" spans="1:68" x14ac:dyDescent="0.25">
      <c r="A2">
        <v>2018</v>
      </c>
      <c r="B2" s="3">
        <v>51</v>
      </c>
      <c r="C2" s="1">
        <v>5</v>
      </c>
      <c r="D2" s="3">
        <v>26</v>
      </c>
      <c r="E2" s="1">
        <v>9</v>
      </c>
      <c r="F2" s="3">
        <v>85</v>
      </c>
      <c r="G2" s="1">
        <v>235</v>
      </c>
      <c r="H2" s="3">
        <v>8</v>
      </c>
      <c r="I2" s="1">
        <v>27</v>
      </c>
      <c r="J2" s="3">
        <v>37</v>
      </c>
      <c r="K2" s="1">
        <v>19</v>
      </c>
      <c r="L2" s="3">
        <v>45</v>
      </c>
      <c r="M2" s="1">
        <v>21</v>
      </c>
      <c r="N2" s="3">
        <v>15</v>
      </c>
      <c r="O2" s="1">
        <v>2</v>
      </c>
      <c r="P2" s="3">
        <v>144</v>
      </c>
      <c r="Q2" s="1">
        <v>64</v>
      </c>
      <c r="R2" s="3">
        <v>15</v>
      </c>
      <c r="S2" s="1">
        <v>1</v>
      </c>
      <c r="T2" s="3">
        <v>12</v>
      </c>
      <c r="U2" s="1">
        <v>12</v>
      </c>
      <c r="V2" s="3">
        <v>10</v>
      </c>
      <c r="W2" s="1">
        <v>4</v>
      </c>
      <c r="X2" s="3">
        <v>3</v>
      </c>
      <c r="Y2" s="1">
        <v>9</v>
      </c>
      <c r="Z2" s="3">
        <v>14</v>
      </c>
      <c r="AA2" s="1">
        <v>31</v>
      </c>
      <c r="AB2" s="3">
        <v>22</v>
      </c>
      <c r="AC2" s="1">
        <v>176</v>
      </c>
      <c r="AD2" s="3">
        <v>5</v>
      </c>
      <c r="AE2" s="1">
        <v>33</v>
      </c>
      <c r="AF2" s="3">
        <v>15</v>
      </c>
      <c r="AG2" s="1">
        <v>7</v>
      </c>
      <c r="AH2" s="3">
        <v>0</v>
      </c>
      <c r="AI2" s="1">
        <v>62</v>
      </c>
      <c r="AJ2" s="3">
        <v>95</v>
      </c>
      <c r="AK2" s="1">
        <v>30</v>
      </c>
      <c r="AL2" s="3">
        <v>19</v>
      </c>
      <c r="AM2" s="1">
        <v>2</v>
      </c>
      <c r="AN2" s="3">
        <v>6</v>
      </c>
      <c r="AO2" s="1">
        <v>75</v>
      </c>
      <c r="AP2" s="3">
        <v>84</v>
      </c>
      <c r="AQ2" s="1">
        <v>23</v>
      </c>
      <c r="AR2" s="3">
        <v>293</v>
      </c>
      <c r="AS2" s="1">
        <v>20</v>
      </c>
      <c r="AT2" s="3">
        <v>18</v>
      </c>
      <c r="AU2" s="1">
        <v>27</v>
      </c>
      <c r="AV2" s="3">
        <v>13</v>
      </c>
      <c r="AW2" s="1">
        <v>177</v>
      </c>
      <c r="AX2" s="3">
        <v>65</v>
      </c>
      <c r="AY2" s="1">
        <v>183</v>
      </c>
      <c r="AZ2" s="3">
        <v>99</v>
      </c>
      <c r="BA2" s="1">
        <v>129</v>
      </c>
      <c r="BB2" s="3">
        <v>124</v>
      </c>
      <c r="BC2" s="1">
        <v>38</v>
      </c>
      <c r="BD2" s="3">
        <v>25</v>
      </c>
      <c r="BE2" s="1">
        <v>51</v>
      </c>
      <c r="BF2" s="3">
        <v>37</v>
      </c>
      <c r="BG2" s="1">
        <v>34</v>
      </c>
      <c r="BH2" s="3">
        <v>42</v>
      </c>
      <c r="BI2" s="1">
        <v>25</v>
      </c>
      <c r="BJ2" s="3">
        <v>20</v>
      </c>
      <c r="BK2" s="1">
        <v>6</v>
      </c>
      <c r="BL2" s="3">
        <v>3</v>
      </c>
      <c r="BM2" s="1">
        <v>106</v>
      </c>
      <c r="BN2" s="3">
        <v>9</v>
      </c>
      <c r="BO2" s="1">
        <v>24</v>
      </c>
      <c r="BP2" s="3">
        <v>10</v>
      </c>
    </row>
    <row r="3" spans="1:68" x14ac:dyDescent="0.25">
      <c r="A3">
        <v>2019</v>
      </c>
      <c r="B3" s="3">
        <v>73</v>
      </c>
      <c r="C3" s="1">
        <v>6</v>
      </c>
      <c r="D3" s="3">
        <v>32</v>
      </c>
      <c r="E3" s="1">
        <v>12</v>
      </c>
      <c r="F3" s="3">
        <v>84</v>
      </c>
      <c r="G3" s="1">
        <v>215</v>
      </c>
      <c r="H3" s="3">
        <v>4</v>
      </c>
      <c r="I3" s="1">
        <v>22</v>
      </c>
      <c r="J3" s="3">
        <v>22</v>
      </c>
      <c r="K3" s="1">
        <v>26</v>
      </c>
      <c r="L3" s="3">
        <v>52</v>
      </c>
      <c r="M3" s="1">
        <v>30</v>
      </c>
      <c r="N3" s="3">
        <v>8</v>
      </c>
      <c r="O3" s="1">
        <v>5</v>
      </c>
      <c r="P3" s="3">
        <v>158</v>
      </c>
      <c r="Q3" s="1">
        <v>64</v>
      </c>
      <c r="R3" s="3">
        <v>11</v>
      </c>
      <c r="S3" s="1">
        <v>3</v>
      </c>
      <c r="T3" s="3">
        <v>8</v>
      </c>
      <c r="U3" s="1">
        <v>6</v>
      </c>
      <c r="V3" s="3">
        <v>13</v>
      </c>
      <c r="W3" s="1">
        <v>2</v>
      </c>
      <c r="X3" s="3">
        <v>6</v>
      </c>
      <c r="Y3" s="1">
        <v>13</v>
      </c>
      <c r="Z3" s="3">
        <v>8</v>
      </c>
      <c r="AA3" s="1">
        <v>25</v>
      </c>
      <c r="AB3" s="3">
        <v>31</v>
      </c>
      <c r="AC3" s="1">
        <v>218</v>
      </c>
      <c r="AD3" s="3">
        <v>8</v>
      </c>
      <c r="AE3" s="1">
        <v>25</v>
      </c>
      <c r="AF3" s="3">
        <v>21</v>
      </c>
      <c r="AG3" s="1">
        <v>3</v>
      </c>
      <c r="AH3" s="3">
        <v>2</v>
      </c>
      <c r="AI3" s="1">
        <v>62</v>
      </c>
      <c r="AJ3" s="3">
        <v>98</v>
      </c>
      <c r="AK3" s="1">
        <v>35</v>
      </c>
      <c r="AL3" s="3">
        <v>16</v>
      </c>
      <c r="AM3" s="1">
        <v>1</v>
      </c>
      <c r="AN3" s="3">
        <v>10</v>
      </c>
      <c r="AO3" s="1">
        <v>57</v>
      </c>
      <c r="AP3" s="3">
        <v>90</v>
      </c>
      <c r="AQ3" s="1">
        <v>28</v>
      </c>
      <c r="AR3" s="3">
        <v>300</v>
      </c>
      <c r="AS3" s="1">
        <v>18</v>
      </c>
      <c r="AT3" s="3">
        <v>17</v>
      </c>
      <c r="AU3" s="1">
        <v>38</v>
      </c>
      <c r="AV3" s="3">
        <v>14</v>
      </c>
      <c r="AW3" s="1">
        <v>173</v>
      </c>
      <c r="AX3" s="3">
        <v>72</v>
      </c>
      <c r="AY3" s="1">
        <v>174</v>
      </c>
      <c r="AZ3" s="3">
        <v>100</v>
      </c>
      <c r="BA3" s="1">
        <v>108</v>
      </c>
      <c r="BB3" s="3">
        <v>125</v>
      </c>
      <c r="BC3" s="1">
        <v>34</v>
      </c>
      <c r="BD3" s="3">
        <v>21</v>
      </c>
      <c r="BE3" s="1">
        <v>57</v>
      </c>
      <c r="BF3" s="3">
        <v>48</v>
      </c>
      <c r="BG3" s="1">
        <v>31</v>
      </c>
      <c r="BH3" s="3">
        <v>38</v>
      </c>
      <c r="BI3" s="1">
        <v>25</v>
      </c>
      <c r="BJ3" s="3">
        <v>14</v>
      </c>
      <c r="BK3" s="1">
        <v>5</v>
      </c>
      <c r="BL3" s="3">
        <v>3</v>
      </c>
      <c r="BM3" s="1">
        <v>126</v>
      </c>
      <c r="BN3" s="3">
        <v>8</v>
      </c>
      <c r="BO3" s="1">
        <v>20</v>
      </c>
      <c r="BP3" s="3">
        <v>10</v>
      </c>
    </row>
    <row r="4" spans="1:68" x14ac:dyDescent="0.25">
      <c r="A4">
        <v>2020</v>
      </c>
      <c r="B4" s="3">
        <v>49</v>
      </c>
      <c r="C4" s="1">
        <v>4</v>
      </c>
      <c r="D4" s="3">
        <v>35</v>
      </c>
      <c r="E4" s="1">
        <v>10</v>
      </c>
      <c r="F4" s="3">
        <v>81</v>
      </c>
      <c r="G4" s="1">
        <v>267</v>
      </c>
      <c r="H4" s="3">
        <v>3</v>
      </c>
      <c r="I4" s="1">
        <v>26</v>
      </c>
      <c r="J4" s="3">
        <v>39</v>
      </c>
      <c r="K4" s="1">
        <v>24</v>
      </c>
      <c r="L4" s="3">
        <v>42</v>
      </c>
      <c r="M4" s="1">
        <v>22</v>
      </c>
      <c r="N4" s="3">
        <v>14</v>
      </c>
      <c r="O4" s="1">
        <v>6</v>
      </c>
      <c r="P4" s="3">
        <v>187</v>
      </c>
      <c r="Q4" s="1">
        <v>57</v>
      </c>
      <c r="R4" s="3">
        <v>27</v>
      </c>
      <c r="S4" s="1">
        <v>1</v>
      </c>
      <c r="T4" s="3">
        <v>17</v>
      </c>
      <c r="U4" s="1">
        <v>5</v>
      </c>
      <c r="V4" s="3">
        <v>4</v>
      </c>
      <c r="W4" s="1">
        <v>5</v>
      </c>
      <c r="X4" s="3">
        <v>12</v>
      </c>
      <c r="Y4" s="1">
        <v>8</v>
      </c>
      <c r="Z4" s="3">
        <v>13</v>
      </c>
      <c r="AA4" s="1">
        <v>44</v>
      </c>
      <c r="AB4" s="3">
        <v>27</v>
      </c>
      <c r="AC4" s="1">
        <v>213</v>
      </c>
      <c r="AD4" s="3">
        <v>6</v>
      </c>
      <c r="AE4" s="1">
        <v>22</v>
      </c>
      <c r="AF4" s="3">
        <v>20</v>
      </c>
      <c r="AG4" s="1">
        <v>1</v>
      </c>
      <c r="AH4" s="3">
        <v>0</v>
      </c>
      <c r="AI4" s="1">
        <v>53</v>
      </c>
      <c r="AJ4" s="3">
        <v>107</v>
      </c>
      <c r="AK4" s="1">
        <v>35</v>
      </c>
      <c r="AL4" s="3">
        <v>13</v>
      </c>
      <c r="AM4" s="1">
        <v>1</v>
      </c>
      <c r="AN4" s="3">
        <v>5</v>
      </c>
      <c r="AO4" s="1">
        <v>65</v>
      </c>
      <c r="AP4" s="3">
        <v>105</v>
      </c>
      <c r="AQ4" s="1">
        <v>23</v>
      </c>
      <c r="AR4" s="3">
        <v>318</v>
      </c>
      <c r="AS4" s="1">
        <v>12</v>
      </c>
      <c r="AT4" s="3">
        <v>16</v>
      </c>
      <c r="AU4" s="1">
        <v>45</v>
      </c>
      <c r="AV4" s="3">
        <v>19</v>
      </c>
      <c r="AW4" s="1">
        <v>177</v>
      </c>
      <c r="AX4" s="3">
        <v>58</v>
      </c>
      <c r="AY4" s="1">
        <v>185</v>
      </c>
      <c r="AZ4" s="3">
        <v>109</v>
      </c>
      <c r="BA4" s="1">
        <v>108</v>
      </c>
      <c r="BB4" s="3">
        <v>134</v>
      </c>
      <c r="BC4" s="1">
        <v>31</v>
      </c>
      <c r="BD4" s="3">
        <v>21</v>
      </c>
      <c r="BE4" s="1">
        <v>61</v>
      </c>
      <c r="BF4" s="3">
        <v>37</v>
      </c>
      <c r="BG4" s="1">
        <v>39</v>
      </c>
      <c r="BH4" s="3">
        <v>49</v>
      </c>
      <c r="BI4" s="1">
        <v>24</v>
      </c>
      <c r="BJ4" s="3">
        <v>20</v>
      </c>
      <c r="BK4" s="1">
        <v>3</v>
      </c>
      <c r="BL4" s="3">
        <v>2</v>
      </c>
      <c r="BM4" s="1">
        <v>136</v>
      </c>
      <c r="BN4" s="3">
        <v>3</v>
      </c>
      <c r="BO4" s="1">
        <v>29</v>
      </c>
      <c r="BP4" s="3">
        <v>10</v>
      </c>
    </row>
    <row r="5" spans="1:68" x14ac:dyDescent="0.25">
      <c r="A5">
        <v>2021</v>
      </c>
      <c r="B5" s="3">
        <v>57</v>
      </c>
      <c r="C5" s="1">
        <v>6</v>
      </c>
      <c r="D5" s="3">
        <v>47</v>
      </c>
      <c r="E5" s="1">
        <v>7</v>
      </c>
      <c r="F5" s="3">
        <v>102</v>
      </c>
      <c r="G5" s="1">
        <v>279</v>
      </c>
      <c r="H5" s="3">
        <v>9</v>
      </c>
      <c r="I5" s="1">
        <v>30</v>
      </c>
      <c r="J5" s="3">
        <v>37</v>
      </c>
      <c r="K5" s="1">
        <v>27</v>
      </c>
      <c r="L5" s="3">
        <v>41</v>
      </c>
      <c r="M5" s="1">
        <v>25</v>
      </c>
      <c r="N5" s="3">
        <v>14</v>
      </c>
      <c r="O5" s="1">
        <v>5</v>
      </c>
      <c r="P5" s="3">
        <v>192</v>
      </c>
      <c r="Q5" s="1">
        <v>77</v>
      </c>
      <c r="R5" s="3">
        <v>16</v>
      </c>
      <c r="S5" s="1">
        <v>2</v>
      </c>
      <c r="T5" s="3">
        <v>12</v>
      </c>
      <c r="U5" s="1">
        <v>3</v>
      </c>
      <c r="V5" s="3">
        <v>3</v>
      </c>
      <c r="W5" s="1">
        <v>1</v>
      </c>
      <c r="X5" s="3">
        <v>4</v>
      </c>
      <c r="Y5" s="1">
        <v>16</v>
      </c>
      <c r="Z5" s="3">
        <v>22</v>
      </c>
      <c r="AA5" s="1">
        <v>33</v>
      </c>
      <c r="AB5" s="3">
        <v>41</v>
      </c>
      <c r="AC5" s="1">
        <v>271</v>
      </c>
      <c r="AD5" s="3">
        <v>6</v>
      </c>
      <c r="AE5" s="1">
        <v>24</v>
      </c>
      <c r="AF5" s="3">
        <v>16</v>
      </c>
      <c r="AG5" s="1">
        <v>5</v>
      </c>
      <c r="AH5" s="3">
        <v>1</v>
      </c>
      <c r="AI5" s="1">
        <v>65</v>
      </c>
      <c r="AJ5" s="3">
        <v>115</v>
      </c>
      <c r="AK5" s="1">
        <v>45</v>
      </c>
      <c r="AL5" s="3">
        <v>14</v>
      </c>
      <c r="AM5" s="1">
        <v>2</v>
      </c>
      <c r="AN5" s="3">
        <v>5</v>
      </c>
      <c r="AO5" s="1">
        <v>71</v>
      </c>
      <c r="AP5" s="3">
        <v>93</v>
      </c>
      <c r="AQ5" s="1">
        <v>27</v>
      </c>
      <c r="AR5" s="3">
        <v>354</v>
      </c>
      <c r="AS5" s="1">
        <v>20</v>
      </c>
      <c r="AT5" s="3">
        <v>10</v>
      </c>
      <c r="AU5" s="1">
        <v>43</v>
      </c>
      <c r="AV5" s="3">
        <v>19</v>
      </c>
      <c r="AW5" s="1">
        <v>217</v>
      </c>
      <c r="AX5" s="3">
        <v>58</v>
      </c>
      <c r="AY5" s="1">
        <v>215</v>
      </c>
      <c r="AZ5" s="3">
        <v>105</v>
      </c>
      <c r="BA5" s="1">
        <v>158</v>
      </c>
      <c r="BB5" s="3">
        <v>180</v>
      </c>
      <c r="BC5" s="1">
        <v>27</v>
      </c>
      <c r="BD5" s="3">
        <v>22</v>
      </c>
      <c r="BE5" s="1">
        <v>61</v>
      </c>
      <c r="BF5" s="3">
        <v>33</v>
      </c>
      <c r="BG5" s="1">
        <v>37</v>
      </c>
      <c r="BH5" s="3">
        <v>50</v>
      </c>
      <c r="BI5" s="1">
        <v>29</v>
      </c>
      <c r="BJ5" s="3">
        <v>18</v>
      </c>
      <c r="BK5" s="1">
        <v>6</v>
      </c>
      <c r="BL5" s="3">
        <v>10</v>
      </c>
      <c r="BM5" s="1">
        <v>149</v>
      </c>
      <c r="BN5" s="3">
        <v>6</v>
      </c>
      <c r="BO5" s="1">
        <v>39</v>
      </c>
      <c r="BP5" s="3">
        <v>7</v>
      </c>
    </row>
    <row r="6" spans="1:68" x14ac:dyDescent="0.25">
      <c r="A6">
        <v>2022</v>
      </c>
      <c r="B6" s="3">
        <v>50</v>
      </c>
      <c r="C6" s="1">
        <v>2</v>
      </c>
      <c r="D6" s="3">
        <v>49</v>
      </c>
      <c r="E6" s="1">
        <v>6</v>
      </c>
      <c r="F6" s="3">
        <v>92</v>
      </c>
      <c r="G6" s="1">
        <v>269</v>
      </c>
      <c r="H6" s="3">
        <v>11</v>
      </c>
      <c r="I6" s="1">
        <v>40</v>
      </c>
      <c r="J6" s="3">
        <v>26</v>
      </c>
      <c r="K6" s="1">
        <v>34</v>
      </c>
      <c r="L6" s="3">
        <v>45</v>
      </c>
      <c r="M6" s="1">
        <v>19</v>
      </c>
      <c r="N6" s="3">
        <v>20</v>
      </c>
      <c r="O6" s="1">
        <v>10</v>
      </c>
      <c r="P6" s="3">
        <v>158</v>
      </c>
      <c r="Q6" s="1">
        <v>57</v>
      </c>
      <c r="R6" s="3">
        <v>27</v>
      </c>
      <c r="S6" s="1">
        <v>2</v>
      </c>
      <c r="T6" s="3">
        <v>16</v>
      </c>
      <c r="U6" s="1">
        <v>4</v>
      </c>
      <c r="V6" s="3">
        <v>9</v>
      </c>
      <c r="W6" s="1">
        <v>6</v>
      </c>
      <c r="X6" s="3">
        <v>12</v>
      </c>
      <c r="Y6" s="1">
        <v>8</v>
      </c>
      <c r="Z6" s="3">
        <v>17</v>
      </c>
      <c r="AA6" s="1">
        <v>45</v>
      </c>
      <c r="AB6" s="3">
        <v>35</v>
      </c>
      <c r="AC6" s="1">
        <v>229</v>
      </c>
      <c r="AD6" s="3">
        <v>5</v>
      </c>
      <c r="AE6" s="1">
        <v>24</v>
      </c>
      <c r="AF6" s="3">
        <v>11</v>
      </c>
      <c r="AG6" s="1">
        <v>4</v>
      </c>
      <c r="AH6" s="3">
        <v>3</v>
      </c>
      <c r="AI6" s="1">
        <v>73</v>
      </c>
      <c r="AJ6" s="3">
        <v>136</v>
      </c>
      <c r="AK6" s="1">
        <v>36</v>
      </c>
      <c r="AL6" s="3">
        <v>10</v>
      </c>
      <c r="AM6" s="1">
        <v>0</v>
      </c>
      <c r="AN6" s="3">
        <v>8</v>
      </c>
      <c r="AO6" s="1">
        <v>71</v>
      </c>
      <c r="AP6" s="3">
        <v>112</v>
      </c>
      <c r="AQ6" s="1">
        <v>38</v>
      </c>
      <c r="AR6" s="3">
        <v>323</v>
      </c>
      <c r="AS6" s="1">
        <v>9</v>
      </c>
      <c r="AT6" s="3">
        <v>14</v>
      </c>
      <c r="AU6" s="1">
        <v>21</v>
      </c>
      <c r="AV6" s="3">
        <v>12</v>
      </c>
      <c r="AW6" s="1">
        <v>209</v>
      </c>
      <c r="AX6" s="3">
        <v>73</v>
      </c>
      <c r="AY6" s="1">
        <v>226</v>
      </c>
      <c r="AZ6" s="3">
        <v>105</v>
      </c>
      <c r="BA6" s="1">
        <v>125</v>
      </c>
      <c r="BB6" s="3">
        <v>131</v>
      </c>
      <c r="BC6" s="1">
        <v>34</v>
      </c>
      <c r="BD6" s="3">
        <v>21</v>
      </c>
      <c r="BE6" s="1">
        <v>58</v>
      </c>
      <c r="BF6" s="3">
        <v>47</v>
      </c>
      <c r="BG6" s="1">
        <v>36</v>
      </c>
      <c r="BH6" s="3">
        <v>42</v>
      </c>
      <c r="BI6" s="1">
        <v>40</v>
      </c>
      <c r="BJ6" s="3">
        <v>16</v>
      </c>
      <c r="BK6" s="1">
        <v>12</v>
      </c>
      <c r="BL6" s="3">
        <v>2</v>
      </c>
      <c r="BM6" s="1">
        <v>122</v>
      </c>
      <c r="BN6" s="3">
        <v>7</v>
      </c>
      <c r="BO6" s="1">
        <v>25</v>
      </c>
      <c r="BP6" s="3">
        <v>5</v>
      </c>
    </row>
    <row r="7" spans="1:68" x14ac:dyDescent="0.25">
      <c r="A7">
        <v>2023</v>
      </c>
      <c r="B7" s="3">
        <v>58</v>
      </c>
      <c r="C7" s="1">
        <v>7</v>
      </c>
      <c r="D7" s="3">
        <v>25</v>
      </c>
      <c r="E7" s="1">
        <v>10</v>
      </c>
      <c r="F7" s="3">
        <v>100</v>
      </c>
      <c r="G7" s="1">
        <v>207</v>
      </c>
      <c r="H7" s="3">
        <v>7</v>
      </c>
      <c r="I7" s="1">
        <v>34</v>
      </c>
      <c r="J7" s="3">
        <v>27</v>
      </c>
      <c r="K7" s="1">
        <v>29</v>
      </c>
      <c r="L7" s="3">
        <v>42</v>
      </c>
      <c r="M7" s="1">
        <v>23</v>
      </c>
      <c r="N7" s="3">
        <v>13</v>
      </c>
      <c r="O7" s="1">
        <v>14</v>
      </c>
      <c r="P7" s="3">
        <v>173</v>
      </c>
      <c r="Q7" s="1">
        <v>64</v>
      </c>
      <c r="R7" s="3">
        <v>25</v>
      </c>
      <c r="S7" s="1">
        <v>6</v>
      </c>
      <c r="T7" s="3">
        <v>19</v>
      </c>
      <c r="U7" s="1">
        <v>7</v>
      </c>
      <c r="V7" s="3">
        <v>12</v>
      </c>
      <c r="W7" s="1">
        <v>6</v>
      </c>
      <c r="X7" s="3">
        <v>5</v>
      </c>
      <c r="Y7" s="1">
        <v>15</v>
      </c>
      <c r="Z7" s="3">
        <v>15</v>
      </c>
      <c r="AA7" s="1">
        <v>46</v>
      </c>
      <c r="AB7" s="3">
        <v>15</v>
      </c>
      <c r="AC7" s="1">
        <v>232</v>
      </c>
      <c r="AD7" s="3">
        <v>7</v>
      </c>
      <c r="AE7" s="1">
        <v>19</v>
      </c>
      <c r="AF7" s="3">
        <v>16</v>
      </c>
      <c r="AG7" s="1">
        <v>3</v>
      </c>
      <c r="AH7" s="3">
        <v>0</v>
      </c>
      <c r="AI7" s="1">
        <v>79</v>
      </c>
      <c r="AJ7" s="3">
        <v>126</v>
      </c>
      <c r="AK7" s="1">
        <v>39</v>
      </c>
      <c r="AL7" s="3">
        <v>20</v>
      </c>
      <c r="AM7" s="1">
        <v>1</v>
      </c>
      <c r="AN7" s="3">
        <v>11</v>
      </c>
      <c r="AO7" s="1">
        <v>72</v>
      </c>
      <c r="AP7" s="3">
        <v>100</v>
      </c>
      <c r="AQ7" s="1">
        <v>16</v>
      </c>
      <c r="AR7" s="3">
        <v>358</v>
      </c>
      <c r="AS7" s="1">
        <v>14</v>
      </c>
      <c r="AT7" s="3">
        <v>20</v>
      </c>
      <c r="AU7" s="1">
        <v>29</v>
      </c>
      <c r="AV7" s="3">
        <v>10</v>
      </c>
      <c r="AW7" s="1">
        <v>166</v>
      </c>
      <c r="AX7" s="3">
        <v>79</v>
      </c>
      <c r="AY7" s="1">
        <v>181</v>
      </c>
      <c r="AZ7" s="3">
        <v>92</v>
      </c>
      <c r="BA7" s="1">
        <v>110</v>
      </c>
      <c r="BB7" s="3">
        <v>160</v>
      </c>
      <c r="BC7" s="1">
        <v>22</v>
      </c>
      <c r="BD7" s="3">
        <v>22</v>
      </c>
      <c r="BE7" s="1">
        <v>57</v>
      </c>
      <c r="BF7" s="3">
        <v>49</v>
      </c>
      <c r="BG7" s="1">
        <v>40</v>
      </c>
      <c r="BH7" s="3">
        <v>47</v>
      </c>
      <c r="BI7" s="1">
        <v>23</v>
      </c>
      <c r="BJ7" s="3">
        <v>18</v>
      </c>
      <c r="BK7" s="1">
        <v>8</v>
      </c>
      <c r="BL7" s="3">
        <v>3</v>
      </c>
      <c r="BM7" s="1">
        <v>109</v>
      </c>
      <c r="BN7" s="3">
        <v>6</v>
      </c>
      <c r="BO7" s="1">
        <v>21</v>
      </c>
      <c r="BP7" s="3">
        <v>4</v>
      </c>
    </row>
    <row r="8" spans="1:68" x14ac:dyDescent="0.25">
      <c r="A8">
        <v>2024</v>
      </c>
      <c r="B8" s="4"/>
      <c r="C8" s="2"/>
      <c r="D8" s="4"/>
      <c r="E8" s="2"/>
      <c r="F8" s="4"/>
      <c r="G8" s="2"/>
      <c r="H8" s="4"/>
      <c r="I8" s="2"/>
      <c r="J8" s="4"/>
      <c r="K8" s="2"/>
      <c r="L8" s="4"/>
      <c r="M8" s="2"/>
      <c r="N8" s="4"/>
      <c r="O8" s="2"/>
      <c r="P8" s="4"/>
      <c r="Q8" s="2"/>
      <c r="R8" s="4"/>
      <c r="S8" s="2"/>
      <c r="T8" s="4"/>
      <c r="U8" s="2"/>
      <c r="V8" s="4"/>
      <c r="W8" s="2"/>
      <c r="X8" s="4"/>
      <c r="Y8" s="2"/>
      <c r="Z8" s="4"/>
      <c r="AA8" s="2"/>
      <c r="AB8" s="4"/>
      <c r="AC8" s="2"/>
      <c r="AD8" s="4"/>
      <c r="AE8" s="2"/>
      <c r="AF8" s="4"/>
      <c r="AG8" s="2"/>
      <c r="AH8" s="4"/>
      <c r="AI8" s="2"/>
      <c r="AJ8" s="4"/>
      <c r="AK8" s="2"/>
      <c r="AL8" s="4"/>
      <c r="AM8" s="2"/>
      <c r="AN8" s="4"/>
      <c r="AO8" s="2"/>
      <c r="AP8" s="4"/>
      <c r="AQ8" s="2"/>
      <c r="AR8" s="4"/>
      <c r="AS8" s="2"/>
      <c r="AT8" s="4"/>
      <c r="AU8" s="2"/>
      <c r="AV8" s="4"/>
      <c r="AW8" s="2"/>
      <c r="AX8" s="4"/>
      <c r="AY8" s="2">
        <v>210</v>
      </c>
      <c r="AZ8" s="4"/>
      <c r="BA8" s="2"/>
      <c r="BB8" s="4"/>
      <c r="BC8" s="2"/>
      <c r="BD8" s="4"/>
      <c r="BE8" s="2"/>
      <c r="BF8" s="4"/>
      <c r="BG8" s="2"/>
      <c r="BH8" s="4"/>
      <c r="BI8" s="2"/>
      <c r="BJ8" s="4"/>
      <c r="BK8" s="2"/>
      <c r="BL8" s="4"/>
      <c r="BM8" s="2"/>
      <c r="BN8" s="4"/>
      <c r="BO8" s="2"/>
      <c r="BP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FATALITIES</vt:lpstr>
      <vt:lpstr>SERIOUS INJURIES</vt:lpstr>
      <vt:lpstr>PED FATINJ</vt:lpstr>
      <vt:lpstr>BIKE FATINJ</vt:lpstr>
      <vt:lpstr>BRIDGES</vt:lpstr>
      <vt:lpstr>PAVEMENT INTERSTATE</vt:lpstr>
      <vt:lpstr>PAVEMENT NON-INTERSTATE</vt:lpstr>
      <vt:lpstr>TTTR Index</vt:lpstr>
      <vt:lpstr>Int Reliability</vt:lpstr>
      <vt:lpstr>Non-Int Reliability</vt:lpstr>
      <vt:lpstr>FATALITIES 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Sabrina Kan</dc:creator>
  <cp:lastModifiedBy>Sabrina Kan</cp:lastModifiedBy>
  <dcterms:created xsi:type="dcterms:W3CDTF">2025-09-16T17:46:53Z</dcterms:created>
  <dcterms:modified xsi:type="dcterms:W3CDTF">2026-04-30T12:29:36Z</dcterms:modified>
</cp:coreProperties>
</file>