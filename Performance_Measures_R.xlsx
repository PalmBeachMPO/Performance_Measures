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579" documentId="8_{6E25A293-DAE1-403C-87C6-760DEF9E0950}" xr6:coauthVersionLast="47" xr6:coauthVersionMax="47" xr10:uidLastSave="{AA521C82-2B09-4D32-B438-B6DCDA49CF9A}"/>
  <bookViews>
    <workbookView xWindow="28680" yWindow="-120" windowWidth="29040" windowHeight="15720" firstSheet="24" activeTab="28" xr2:uid="{47865025-DE32-4D87-A21F-3C532F9D4B3D}"/>
  </bookViews>
  <sheets>
    <sheet name="FATALITIES" sheetId="7" r:id="rId1"/>
    <sheet name="FATALITIES_5yr_avg" sheetId="35" r:id="rId2"/>
    <sheet name="SERIOUS INJURIES" sheetId="8" r:id="rId3"/>
    <sheet name="Sheet1" sheetId="38" r:id="rId4"/>
    <sheet name="NM_Fat_Ser_Inj" sheetId="36" r:id="rId5"/>
    <sheet name="Bridge_Main_Who" sheetId="37" r:id="rId6"/>
    <sheet name="PED FATINJ" sheetId="12" r:id="rId7"/>
    <sheet name="BIKE FATINJ" sheetId="13" r:id="rId8"/>
    <sheet name="BRIDGES" sheetId="14" r:id="rId9"/>
    <sheet name="PAVEMENT INTERSTATE" sheetId="15" r:id="rId10"/>
    <sheet name="PAVEMENT NON-INTERSTATE" sheetId="16" r:id="rId11"/>
    <sheet name="TTTR Index" sheetId="17" r:id="rId12"/>
    <sheet name="Int Reliability" sheetId="18" r:id="rId13"/>
    <sheet name="Non-Int Reliability" sheetId="19" r:id="rId14"/>
    <sheet name="UL_FRB" sheetId="26" r:id="rId15"/>
    <sheet name="UL_CB" sheetId="27" r:id="rId16"/>
    <sheet name="UL_SA" sheetId="28" r:id="rId17"/>
    <sheet name="UL_ST" sheetId="29" r:id="rId18"/>
    <sheet name="Trirail_Loco" sheetId="30" r:id="rId19"/>
    <sheet name="Trirail_PER_R" sheetId="31" r:id="rId20"/>
    <sheet name="Trirail_Sup_Main" sheetId="32" r:id="rId21"/>
    <sheet name="PT_Safety_SC" sheetId="34" r:id="rId22"/>
    <sheet name="Trirail_Facilties" sheetId="33" r:id="rId23"/>
    <sheet name="Scorecard_Safety" sheetId="21" r:id="rId24"/>
    <sheet name="Scorecard_Infrastructure" sheetId="22" r:id="rId25"/>
    <sheet name="Scorecard_Sys_Per_Reli" sheetId="23" r:id="rId26"/>
    <sheet name="Scorecard_Transit_As_Man" sheetId="24" r:id="rId27"/>
    <sheet name="Scorecard_Transit_Safety" sheetId="25" r:id="rId28"/>
    <sheet name="Scorecard_All" sheetId="39" r:id="rId29"/>
    <sheet name="FATALITIES COMP" sheetId="3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<sst xmlns="http://schemas.openxmlformats.org/spreadsheetml/2006/main" count="388" uniqueCount="156">
  <si>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</si>
  <si>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</si>
  <si>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</si>
  <si>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</si>
  <si>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</si>
  <si>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</si>
  <si>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</si>
  <si>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</si>
  <si>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</si>
  <si>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</si>
  <si>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</si>
  <si>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</si>
  <si>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</si>
  <si>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</si>
  <si>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</si>
  <si>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</si>
  <si>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</si>
  <si>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</si>
  <si>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</si>
  <si>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</si>
  <si>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</si>
  <si>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</si>
  <si>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</si>
  <si>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</si>
  <si>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</si>
  <si>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</si>
  <si>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</si>
  <si>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</si>
  <si>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</si>
  <si>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</si>
  <si>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</si>
  <si>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</si>
  <si>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</si>
  <si>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</si>
  <si>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</si>
  <si>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</si>
  <si>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</si>
  <si>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</si>
  <si>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</si>
  <si>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</si>
  <si>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</si>
  <si>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</si>
  <si>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</si>
  <si>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</si>
  <si>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</si>
  <si>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</si>
  <si>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</si>
  <si>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</si>
  <si>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</si>
  <si>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</si>
  <si>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</si>
  <si>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</si>
  <si>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</si>
  <si>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</si>
  <si>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</si>
  <si>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</si>
  <si>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</si>
  <si>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</si>
  <si>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</si>
  <si>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</si>
  <si>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</si>
  <si>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</si>
  <si>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</si>
  <si>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</si>
  <si>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</si>
  <si>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</si>
  <si>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</si>
  <si>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</si>
  <si>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</si>
  <si>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</si>
  <si>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</si>
  <si>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</si>
  <si>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</si>
  <si>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</si>
  <si>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</si>
  <si>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</si>
  <si>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</si>
  <si>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</si>
  <si>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</si>
  <si>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</si>
  <si>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</si>
  <si>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</si>
  <si>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</si>
  <si>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</si>
  <si>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</si>
  <si>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</si>
  <si>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</si>
  <si>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</si>
  <si>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</si>
  <si>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</si>
  <si>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</si>
  <si>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</si>
  <si>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</si>
  <si>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</si>
  <si>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</si>
  <si>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</si>
  <si>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</si>
  <si>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</si>
  <si>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</si>
  <si>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</si>
  <si>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</si>
  <si>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</si>
  <si>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</si>
  <si>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</si>
  <si>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</si>
  <si>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</si>
  <si>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</si>
  <si>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</si>
  <si>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</si>
  <si>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</si>
  <si>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</si>
  <si>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</si>
  <si>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</si>
  <si>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</si>
  <si>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</si>
  <si>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</si>
  <si>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</si>
  <si>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</si>
  <si>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</si>
  <si>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</si>
  <si>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</si>
  <si>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</si>
  <si>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</si>
  <si>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</si>
  <si>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</si>
  <si>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</si>
  <si>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</si>
  <si>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</si>
  <si>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</si>
  <si>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</si>
  <si>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</si>
  <si>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</si>
  <si>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</si>
  <si>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</si>
  <si>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</si>
  <si>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</si>
  <si>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</si>
  <si>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</si>
  <si>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</si>
  <si>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</si>
  <si>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</si>
  <si>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</si>
  <si>
    <t xml:space="preserve">Number of Fatalities </t>
  </si>
  <si>
    <t>Number of fatalities &amp; serious injuries</t>
  </si>
  <si>
    <t>Target:</t>
  </si>
  <si>
    <t>FDOT</t>
  </si>
  <si>
    <t>County Highway Agency</t>
  </si>
  <si>
    <t>City or Municipal Highway Agency</t>
  </si>
  <si>
    <t>Other State Agencies</t>
  </si>
  <si>
    <t>Town or Township Highway Agency</t>
  </si>
  <si>
    <t>Fair</t>
  </si>
  <si>
    <t>SAFETY (5 -YR Avg.)</t>
  </si>
  <si>
    <t>INFRASTRUCTURE</t>
  </si>
  <si>
    <t>SYSTEM PERFORAMANCE RELIABILITY</t>
  </si>
  <si>
    <t>TRANSIT ASSET MANAGEMENT</t>
  </si>
  <si>
    <t>TRANSIT SAFETY: PALM TRAN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</si>
</sst>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CFB29-F89A-4D75-A5F1-D5586DB88999}">
  <dimension ref="A1:B8"/>
  <sheetViews>
    <sheetView workbookViewId="0">
      <selection activeCell="G1" sqref="G1"/>
    </sheetView>
  </sheetViews>
  <sheetFormatPr defaultRowHeight="15" x14ac:dyDescent="0.25"/>
  <cols>
    <col min="2" max="2" width="18.85546875" customWidth="1"/>
  </cols>
  <sheetData>
    <row r="1" spans="1:2" x14ac:dyDescent="0.25">
      <c r="A1" t="s">
        <v>68</v>
      </c>
      <c r="B1" t="s">
        <v>142</v>
      </c>
    </row>
    <row r="2" spans="1:2" x14ac:dyDescent="0.25">
      <c r="A2">
        <v>2018</v>
      </c>
      <c r="B2" s="7">
        <v>183</v>
      </c>
    </row>
    <row r="3" spans="1:2" x14ac:dyDescent="0.25">
      <c r="A3">
        <v>2019</v>
      </c>
      <c r="B3" s="7">
        <v>174</v>
      </c>
    </row>
    <row r="4" spans="1:2" x14ac:dyDescent="0.25">
      <c r="A4">
        <v>2020</v>
      </c>
      <c r="B4" s="7">
        <v>185</v>
      </c>
    </row>
    <row r="5" spans="1:2" x14ac:dyDescent="0.25">
      <c r="A5">
        <v>2021</v>
      </c>
      <c r="B5" s="7">
        <v>215</v>
      </c>
    </row>
    <row r="6" spans="1:2" x14ac:dyDescent="0.25">
      <c r="A6">
        <v>2022</v>
      </c>
      <c r="B6" s="7">
        <v>226</v>
      </c>
    </row>
    <row r="7" spans="1:2" x14ac:dyDescent="0.25">
      <c r="A7">
        <v>2023</v>
      </c>
      <c r="B7" s="7">
        <v>181</v>
      </c>
    </row>
    <row r="8" spans="1:2" x14ac:dyDescent="0.25">
      <c r="A8">
        <v>2024</v>
      </c>
      <c r="B8" s="7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sqref="A1:C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765B-4EBA-4E5D-B48C-B122FB21D21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1516-3CB9-4A84-B657-9470D488082C}">
  <dimension ref="A1:C10"/>
  <sheetViews>
    <sheetView workbookViewId="0">
      <selection sqref="A1:C10"/>
    </sheetView>
  </sheetViews>
  <sheetFormatPr defaultRowHeight="15" x14ac:dyDescent="0.25"/>
  <cols>
    <col min="2" max="2" width="39.42578125" customWidth="1"/>
  </cols>
  <sheetData>
    <row r="1" spans="1:3" x14ac:dyDescent="0.25">
      <c r="A1" t="s">
        <v>68</v>
      </c>
      <c r="B1" t="s">
        <v>143</v>
      </c>
      <c r="C1" t="s">
        <v>144</v>
      </c>
    </row>
    <row r="2" spans="1:3" x14ac:dyDescent="0.25">
      <c r="A2">
        <v>2016</v>
      </c>
      <c r="B2" s="25">
        <v>196</v>
      </c>
      <c r="C2">
        <v>0</v>
      </c>
    </row>
    <row r="3" spans="1:3" x14ac:dyDescent="0.25">
      <c r="A3">
        <v>2017</v>
      </c>
      <c r="B3" s="25">
        <v>209</v>
      </c>
      <c r="C3">
        <v>0</v>
      </c>
    </row>
    <row r="4" spans="1:3" x14ac:dyDescent="0.25">
      <c r="A4">
        <v>2018</v>
      </c>
      <c r="B4" s="9">
        <v>214</v>
      </c>
      <c r="C4">
        <v>0</v>
      </c>
    </row>
    <row r="5" spans="1:3" x14ac:dyDescent="0.25">
      <c r="A5">
        <v>2019</v>
      </c>
      <c r="B5" s="9">
        <v>217</v>
      </c>
      <c r="C5">
        <v>0</v>
      </c>
    </row>
    <row r="6" spans="1:3" x14ac:dyDescent="0.25">
      <c r="A6">
        <v>2020</v>
      </c>
      <c r="B6" s="10">
        <v>198</v>
      </c>
      <c r="C6">
        <v>0</v>
      </c>
    </row>
    <row r="7" spans="1:3" x14ac:dyDescent="0.25">
      <c r="A7">
        <v>2021</v>
      </c>
      <c r="B7" s="10">
        <v>190</v>
      </c>
      <c r="C7">
        <v>0</v>
      </c>
    </row>
    <row r="8" spans="1:3" x14ac:dyDescent="0.25">
      <c r="A8">
        <v>2022</v>
      </c>
      <c r="B8" s="10">
        <v>201</v>
      </c>
      <c r="C8">
        <v>0</v>
      </c>
    </row>
    <row r="9" spans="1:3" x14ac:dyDescent="0.25">
      <c r="A9">
        <v>2023</v>
      </c>
      <c r="B9" s="10">
        <v>199</v>
      </c>
      <c r="C9">
        <v>0</v>
      </c>
    </row>
    <row r="10" spans="1:3" x14ac:dyDescent="0.25">
      <c r="A10">
        <v>2024</v>
      </c>
      <c r="B10" s="25">
        <v>241</v>
      </c>
      <c r="C1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2D94-618B-4319-8748-A0A0A4D4F4C7}">
  <dimension ref="A1:F4"/>
  <sheetViews>
    <sheetView workbookViewId="0">
      <selection sqref="A1:F4"/>
    </sheetView>
  </sheetViews>
  <sheetFormatPr defaultRowHeight="15" x14ac:dyDescent="0.25"/>
  <sheetData>
    <row r="1" spans="1:6" x14ac:dyDescent="0.25">
      <c r="B1" t="s">
        <v>145</v>
      </c>
      <c r="C1" t="s">
        <v>146</v>
      </c>
      <c r="D1" t="s">
        <v>147</v>
      </c>
      <c r="E1" t="s">
        <v>148</v>
      </c>
      <c r="F1" t="s">
        <v>149</v>
      </c>
    </row>
    <row r="2" spans="1:6" x14ac:dyDescent="0.25">
      <c r="A2" t="s">
        <v>76</v>
      </c>
      <c r="B2">
        <v>1344</v>
      </c>
      <c r="C2">
        <v>0</v>
      </c>
      <c r="D2">
        <v>505</v>
      </c>
      <c r="E2">
        <v>0</v>
      </c>
      <c r="F2">
        <v>0</v>
      </c>
    </row>
    <row r="3" spans="1:6" x14ac:dyDescent="0.25">
      <c r="A3" t="s">
        <v>150</v>
      </c>
      <c r="B3">
        <v>120516</v>
      </c>
      <c r="C3">
        <v>45878</v>
      </c>
      <c r="D3">
        <v>3725</v>
      </c>
      <c r="E3">
        <v>318</v>
      </c>
      <c r="F3">
        <v>931</v>
      </c>
    </row>
    <row r="4" spans="1:6" x14ac:dyDescent="0.25">
      <c r="A4" t="s">
        <v>75</v>
      </c>
      <c r="B4">
        <v>439965</v>
      </c>
      <c r="C4">
        <v>147050</v>
      </c>
      <c r="D4">
        <v>18480</v>
      </c>
      <c r="E4">
        <v>2853</v>
      </c>
      <c r="F4">
        <v>2391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</v>
      </c>
      <c r="C2" s="15">
        <v>0.15</v>
      </c>
    </row>
    <row r="3" spans="1:3" x14ac:dyDescent="0.25">
      <c r="A3">
        <v>2019</v>
      </c>
      <c r="B3" s="15">
        <v>0.65</v>
      </c>
      <c r="C3" s="15">
        <v>0.15</v>
      </c>
    </row>
    <row r="4" spans="1:3" x14ac:dyDescent="0.25">
      <c r="A4">
        <v>2020</v>
      </c>
      <c r="B4" s="15">
        <v>7.0000000000000007E-2</v>
      </c>
      <c r="C4" s="15">
        <v>0.15</v>
      </c>
    </row>
    <row r="5" spans="1:3" x14ac:dyDescent="0.25">
      <c r="A5">
        <v>2021</v>
      </c>
      <c r="B5" s="15">
        <v>0.15</v>
      </c>
      <c r="C5" s="15">
        <v>0.15</v>
      </c>
    </row>
    <row r="6" spans="1:3" x14ac:dyDescent="0.25">
      <c r="A6">
        <v>2022</v>
      </c>
      <c r="B6" s="15">
        <v>0.1</v>
      </c>
      <c r="C6" s="15">
        <v>0.15</v>
      </c>
    </row>
    <row r="7" spans="1:3" x14ac:dyDescent="0.25">
      <c r="A7">
        <v>2023</v>
      </c>
      <c r="B7" s="15">
        <v>0.18</v>
      </c>
      <c r="C7" s="15">
        <v>0.15</v>
      </c>
    </row>
    <row r="8" spans="1:3" x14ac:dyDescent="0.25">
      <c r="A8">
        <v>2024</v>
      </c>
      <c r="B8" s="15">
        <v>0.19</v>
      </c>
      <c r="C8" s="15">
        <v>0.15</v>
      </c>
    </row>
    <row r="9" spans="1:3" x14ac:dyDescent="0.25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</v>
      </c>
      <c r="C2" s="15">
        <v>0.1477</v>
      </c>
    </row>
    <row r="3" spans="1:3" x14ac:dyDescent="0.25">
      <c r="A3">
        <v>2019</v>
      </c>
      <c r="B3" s="15">
        <v>0.36</v>
      </c>
      <c r="C3" s="15">
        <v>0.1477</v>
      </c>
    </row>
    <row r="4" spans="1:3" x14ac:dyDescent="0.25">
      <c r="A4">
        <v>2020</v>
      </c>
      <c r="B4" s="15">
        <v>0.21</v>
      </c>
      <c r="C4" s="15">
        <v>0.1477</v>
      </c>
    </row>
    <row r="5" spans="1:3" x14ac:dyDescent="0.25">
      <c r="A5">
        <v>2021</v>
      </c>
      <c r="B5" s="15">
        <v>0.56000000000000005</v>
      </c>
      <c r="C5" s="15">
        <v>0.1477</v>
      </c>
    </row>
    <row r="6" spans="1:3" x14ac:dyDescent="0.25">
      <c r="A6">
        <v>2022</v>
      </c>
      <c r="B6" s="15">
        <v>0.09</v>
      </c>
      <c r="C6" s="15">
        <v>0.1477</v>
      </c>
    </row>
    <row r="7" spans="1:3" x14ac:dyDescent="0.25">
      <c r="A7">
        <v>2023</v>
      </c>
      <c r="B7" s="15">
        <v>0.15</v>
      </c>
      <c r="C7" s="15">
        <v>0.1477</v>
      </c>
    </row>
    <row r="8" spans="1:3" x14ac:dyDescent="0.25">
      <c r="A8">
        <v>2024</v>
      </c>
      <c r="B8" s="15">
        <v>0.04</v>
      </c>
      <c r="C8" s="15">
        <v>0.1477</v>
      </c>
    </row>
    <row r="9" spans="1:3" x14ac:dyDescent="0.25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0.26</v>
      </c>
      <c r="C2" s="15">
        <v>0</v>
      </c>
    </row>
    <row r="3" spans="1:3" x14ac:dyDescent="0.25">
      <c r="A3">
        <v>2019</v>
      </c>
      <c r="B3" s="15">
        <v>0.86</v>
      </c>
      <c r="C3" s="15">
        <v>0</v>
      </c>
    </row>
    <row r="4" spans="1:3" x14ac:dyDescent="0.25">
      <c r="A4">
        <v>2020</v>
      </c>
      <c r="B4" s="15">
        <v>0.1</v>
      </c>
      <c r="C4" s="15">
        <v>0</v>
      </c>
    </row>
    <row r="5" spans="1:3" x14ac:dyDescent="0.25">
      <c r="A5">
        <v>2021</v>
      </c>
      <c r="B5" s="15">
        <v>0.06</v>
      </c>
      <c r="C5" s="15">
        <v>0</v>
      </c>
    </row>
    <row r="6" spans="1:3" x14ac:dyDescent="0.25">
      <c r="A6">
        <v>2022</v>
      </c>
      <c r="B6" s="15">
        <v>0.35</v>
      </c>
      <c r="C6" s="15">
        <v>0</v>
      </c>
    </row>
    <row r="7" spans="1:3" x14ac:dyDescent="0.25">
      <c r="A7">
        <v>2023</v>
      </c>
      <c r="B7" s="15">
        <v>0.17</v>
      </c>
      <c r="C7" s="15">
        <v>0</v>
      </c>
    </row>
    <row r="8" spans="1:3" x14ac:dyDescent="0.25">
      <c r="A8">
        <v>2024</v>
      </c>
      <c r="B8" s="15">
        <v>0.43</v>
      </c>
      <c r="C8" s="15">
        <v>0</v>
      </c>
    </row>
    <row r="9" spans="1:3" x14ac:dyDescent="0.25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5" x14ac:dyDescent="0.25"/>
  <cols>
    <col min="2" max="2" width="19.5703125" customWidth="1"/>
  </cols>
  <sheetData>
    <row r="1" spans="1:2" x14ac:dyDescent="0.25">
      <c r="A1" t="s">
        <v>68</v>
      </c>
      <c r="B1" t="s">
        <v>139</v>
      </c>
    </row>
    <row r="2" spans="1:2" x14ac:dyDescent="0.25">
      <c r="A2">
        <v>2018</v>
      </c>
      <c r="B2" s="15">
        <v>0.26</v>
      </c>
    </row>
    <row r="3" spans="1:2" x14ac:dyDescent="0.25">
      <c r="A3">
        <v>2019</v>
      </c>
      <c r="B3" s="15">
        <v>0.02</v>
      </c>
    </row>
    <row r="4" spans="1:2" x14ac:dyDescent="0.25">
      <c r="A4">
        <v>2020</v>
      </c>
      <c r="B4" s="15">
        <v>0.06</v>
      </c>
    </row>
    <row r="5" spans="1:2" x14ac:dyDescent="0.25">
      <c r="A5">
        <v>2021</v>
      </c>
      <c r="B5" s="15">
        <v>0.17</v>
      </c>
    </row>
    <row r="6" spans="1:2" x14ac:dyDescent="0.25">
      <c r="A6">
        <v>2022</v>
      </c>
      <c r="B6" s="15">
        <v>0.28000000000000003</v>
      </c>
    </row>
    <row r="7" spans="1:2" x14ac:dyDescent="0.25">
      <c r="A7">
        <v>2023</v>
      </c>
      <c r="B7" s="15">
        <v>0.05</v>
      </c>
    </row>
    <row r="8" spans="1:2" x14ac:dyDescent="0.25">
      <c r="A8">
        <v>2024</v>
      </c>
      <c r="B8" s="15">
        <v>0</v>
      </c>
    </row>
    <row r="9" spans="1:2" x14ac:dyDescent="0.25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2019</v>
      </c>
      <c r="B2" s="23">
        <v>0.25</v>
      </c>
      <c r="C2" s="15">
        <v>0.28599999999999998</v>
      </c>
    </row>
    <row r="3" spans="1:3" x14ac:dyDescent="0.25">
      <c r="A3">
        <v>2020</v>
      </c>
      <c r="B3" s="23">
        <v>0.26700000000000002</v>
      </c>
      <c r="C3" s="15">
        <v>0.28599999999999998</v>
      </c>
    </row>
    <row r="4" spans="1:3" x14ac:dyDescent="0.25">
      <c r="A4">
        <v>2021</v>
      </c>
      <c r="B4" s="23">
        <v>0.26300000000000001</v>
      </c>
      <c r="C4" s="15">
        <v>0.28599999999999998</v>
      </c>
    </row>
    <row r="5" spans="1:3" x14ac:dyDescent="0.25">
      <c r="A5">
        <v>2022</v>
      </c>
      <c r="B5" s="23">
        <v>0.3</v>
      </c>
      <c r="C5" s="15">
        <v>0.28599999999999998</v>
      </c>
    </row>
    <row r="6" spans="1:3" x14ac:dyDescent="0.25">
      <c r="A6">
        <v>2023</v>
      </c>
      <c r="B6" s="23">
        <v>0.32</v>
      </c>
      <c r="C6" s="15">
        <v>0.28599999999999998</v>
      </c>
    </row>
    <row r="7" spans="1:3" x14ac:dyDescent="0.25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0.08</v>
      </c>
      <c r="C2" s="15">
        <v>0.03</v>
      </c>
    </row>
    <row r="3" spans="1:3" x14ac:dyDescent="0.25">
      <c r="A3">
        <v>2019</v>
      </c>
      <c r="B3" s="23">
        <v>3.3000000000000002E-2</v>
      </c>
      <c r="C3" s="15">
        <v>0.03</v>
      </c>
    </row>
    <row r="4" spans="1:3" x14ac:dyDescent="0.25">
      <c r="A4">
        <v>2020</v>
      </c>
      <c r="B4" s="23">
        <v>0</v>
      </c>
      <c r="C4" s="15">
        <v>0.03</v>
      </c>
    </row>
    <row r="5" spans="1:3" x14ac:dyDescent="0.25">
      <c r="A5">
        <v>2021</v>
      </c>
      <c r="B5" s="23">
        <v>2.1000000000000001E-2</v>
      </c>
      <c r="C5" s="15">
        <v>0.03</v>
      </c>
    </row>
    <row r="6" spans="1:3" x14ac:dyDescent="0.25">
      <c r="A6">
        <v>2022</v>
      </c>
      <c r="B6" s="23">
        <v>1.5E-3</v>
      </c>
      <c r="C6" s="15">
        <v>0.03</v>
      </c>
    </row>
    <row r="7" spans="1:3" x14ac:dyDescent="0.25">
      <c r="A7">
        <v>2023</v>
      </c>
      <c r="B7" s="23">
        <v>1.6000000000000001E-3</v>
      </c>
      <c r="C7" s="15">
        <v>0.03</v>
      </c>
    </row>
    <row r="8" spans="1:3" x14ac:dyDescent="0.25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2019</v>
      </c>
      <c r="B2" s="23">
        <v>0.222</v>
      </c>
      <c r="C2" s="15">
        <v>0.41</v>
      </c>
    </row>
    <row r="3" spans="1:3" x14ac:dyDescent="0.25">
      <c r="A3">
        <v>2020</v>
      </c>
      <c r="B3" s="23">
        <v>0.44400000000000001</v>
      </c>
      <c r="C3" s="15">
        <v>0.41</v>
      </c>
    </row>
    <row r="4" spans="1:3" x14ac:dyDescent="0.25">
      <c r="A4">
        <v>2021</v>
      </c>
      <c r="B4" s="23">
        <v>0.5</v>
      </c>
      <c r="C4" s="15">
        <v>0.41</v>
      </c>
    </row>
    <row r="5" spans="1:3" x14ac:dyDescent="0.25">
      <c r="A5">
        <v>2022</v>
      </c>
      <c r="B5" s="23">
        <v>0.625</v>
      </c>
      <c r="C5" s="15">
        <v>0.41</v>
      </c>
    </row>
    <row r="6" spans="1:3" x14ac:dyDescent="0.25">
      <c r="A6">
        <v>2023</v>
      </c>
      <c r="B6" s="23">
        <v>0.41</v>
      </c>
      <c r="C6" s="15">
        <v>0.41</v>
      </c>
    </row>
    <row r="7" spans="1:3" x14ac:dyDescent="0.25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C17"/>
  <sheetViews>
    <sheetView workbookViewId="0">
      <selection activeCell="H21" sqref="H21"/>
    </sheetView>
  </sheetViews>
  <sheetFormatPr defaultRowHeight="15" x14ac:dyDescent="0.25"/>
  <cols>
    <col min="1" max="1" width="27.28515625" bestFit="1" customWidth="1"/>
    <col min="2" max="2" width="10.42578125" bestFit="1" customWidth="1"/>
    <col min="3" max="3" width="10.28515625" bestFit="1" customWidth="1"/>
  </cols>
  <sheetData>
    <row r="1" spans="1:3" x14ac:dyDescent="0.25">
      <c r="A1" t="s">
        <v>90</v>
      </c>
      <c r="B1" t="s">
        <v>140</v>
      </c>
      <c r="C1" t="s">
        <v>141</v>
      </c>
    </row>
    <row r="2" spans="1:3" x14ac:dyDescent="0.25">
      <c r="A2" t="s">
        <v>131</v>
      </c>
    </row>
    <row r="3" spans="1:3" x14ac:dyDescent="0.25">
      <c r="A3" t="s">
        <v>71</v>
      </c>
      <c r="B3">
        <v>0</v>
      </c>
      <c r="C3">
        <v>0</v>
      </c>
    </row>
    <row r="4" spans="1:3" x14ac:dyDescent="0.25">
      <c r="A4" t="s">
        <v>133</v>
      </c>
      <c r="B4">
        <v>0.01</v>
      </c>
      <c r="C4">
        <v>0</v>
      </c>
    </row>
    <row r="5" spans="1:3" x14ac:dyDescent="0.25">
      <c r="A5" t="s">
        <v>72</v>
      </c>
      <c r="B5">
        <v>44</v>
      </c>
      <c r="C5">
        <v>21</v>
      </c>
    </row>
    <row r="6" spans="1:3" x14ac:dyDescent="0.25">
      <c r="A6" t="s">
        <v>134</v>
      </c>
      <c r="B6">
        <v>0.1</v>
      </c>
      <c r="C6">
        <v>0.1</v>
      </c>
    </row>
    <row r="7" spans="1:3" x14ac:dyDescent="0.25">
      <c r="A7" t="s">
        <v>135</v>
      </c>
      <c r="B7">
        <v>49</v>
      </c>
      <c r="C7">
        <v>38</v>
      </c>
    </row>
    <row r="8" spans="1:3" x14ac:dyDescent="0.25">
      <c r="A8" t="s">
        <v>136</v>
      </c>
      <c r="B8">
        <v>0.6</v>
      </c>
      <c r="C8">
        <v>0.5</v>
      </c>
    </row>
    <row r="9" spans="1:3" x14ac:dyDescent="0.25">
      <c r="A9" t="s">
        <v>137</v>
      </c>
      <c r="B9" s="22">
        <v>7929</v>
      </c>
      <c r="C9" s="22">
        <v>14000</v>
      </c>
    </row>
    <row r="10" spans="1:3" x14ac:dyDescent="0.25">
      <c r="A10" t="s">
        <v>138</v>
      </c>
      <c r="B10" s="22"/>
      <c r="C10" s="22"/>
    </row>
    <row r="11" spans="1:3" x14ac:dyDescent="0.25">
      <c r="A11" t="s">
        <v>71</v>
      </c>
      <c r="B11">
        <v>0</v>
      </c>
      <c r="C11">
        <v>0</v>
      </c>
    </row>
    <row r="12" spans="1:3" x14ac:dyDescent="0.25">
      <c r="A12" t="s">
        <v>133</v>
      </c>
      <c r="B12">
        <v>0</v>
      </c>
      <c r="C12">
        <v>0</v>
      </c>
    </row>
    <row r="13" spans="1:3" x14ac:dyDescent="0.25">
      <c r="A13" t="s">
        <v>72</v>
      </c>
      <c r="B13">
        <v>17</v>
      </c>
      <c r="C13">
        <v>19</v>
      </c>
    </row>
    <row r="14" spans="1:3" x14ac:dyDescent="0.25">
      <c r="A14" t="s">
        <v>134</v>
      </c>
      <c r="B14">
        <v>0.2</v>
      </c>
      <c r="C14">
        <v>0.2</v>
      </c>
    </row>
    <row r="15" spans="1:3" x14ac:dyDescent="0.25">
      <c r="A15" t="s">
        <v>135</v>
      </c>
      <c r="B15">
        <v>17</v>
      </c>
      <c r="C15">
        <v>20</v>
      </c>
    </row>
    <row r="16" spans="1:3" x14ac:dyDescent="0.25">
      <c r="A16" t="s">
        <v>136</v>
      </c>
      <c r="B16">
        <v>0.2</v>
      </c>
      <c r="C16">
        <v>0.2</v>
      </c>
    </row>
    <row r="17" spans="1:3" x14ac:dyDescent="0.25">
      <c r="A17" t="s">
        <v>137</v>
      </c>
      <c r="B17" s="22">
        <v>15101</v>
      </c>
      <c r="C17" s="22">
        <v>7700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0.3</v>
      </c>
      <c r="C2" s="15">
        <v>0.05</v>
      </c>
    </row>
    <row r="3" spans="1:3" x14ac:dyDescent="0.25">
      <c r="A3">
        <v>2019</v>
      </c>
      <c r="B3" s="23">
        <v>0.05</v>
      </c>
      <c r="C3" s="15">
        <v>0.05</v>
      </c>
    </row>
    <row r="4" spans="1:3" x14ac:dyDescent="0.25">
      <c r="A4">
        <v>2020</v>
      </c>
      <c r="B4" s="23">
        <v>0.05</v>
      </c>
      <c r="C4" s="15">
        <v>0.05</v>
      </c>
    </row>
    <row r="5" spans="1:3" x14ac:dyDescent="0.25">
      <c r="A5">
        <v>2021</v>
      </c>
      <c r="B5" s="23">
        <v>0.05</v>
      </c>
      <c r="C5" s="15">
        <v>0.05</v>
      </c>
    </row>
    <row r="6" spans="1:3" x14ac:dyDescent="0.25">
      <c r="A6">
        <v>2022</v>
      </c>
      <c r="B6" s="23">
        <v>0.33</v>
      </c>
      <c r="C6" s="15">
        <v>0.05</v>
      </c>
    </row>
    <row r="7" spans="1:3" x14ac:dyDescent="0.25">
      <c r="A7">
        <v>2023</v>
      </c>
      <c r="B7" s="23">
        <v>0</v>
      </c>
      <c r="C7" s="15">
        <v>0.05</v>
      </c>
    </row>
    <row r="8" spans="1:3" x14ac:dyDescent="0.25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activeCell="A2" sqref="A2:D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D9"/>
  <sheetViews>
    <sheetView workbookViewId="0">
      <selection activeCell="A2" sqref="A2:D9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s="24" t="s">
        <v>91</v>
      </c>
    </row>
    <row r="3" spans="1:4" x14ac:dyDescent="0.25">
      <c r="A3" t="s">
        <v>94</v>
      </c>
      <c r="B3" t="s">
        <v>95</v>
      </c>
      <c r="C3" s="20">
        <v>0.83199999999999996</v>
      </c>
      <c r="D3" t="s">
        <v>96</v>
      </c>
    </row>
    <row r="4" spans="1:4" x14ac:dyDescent="0.25">
      <c r="A4" t="s">
        <v>97</v>
      </c>
      <c r="B4" t="s">
        <v>95</v>
      </c>
      <c r="C4" s="20">
        <v>0</v>
      </c>
      <c r="D4" t="s">
        <v>98</v>
      </c>
    </row>
    <row r="5" spans="1:4" x14ac:dyDescent="0.25">
      <c r="A5" s="24" t="s">
        <v>99</v>
      </c>
      <c r="C5" s="20"/>
    </row>
    <row r="6" spans="1:4" x14ac:dyDescent="0.25">
      <c r="A6" t="s">
        <v>100</v>
      </c>
      <c r="B6" t="s">
        <v>83</v>
      </c>
      <c r="C6" s="20">
        <v>0.54700000000000004</v>
      </c>
      <c r="D6" t="s">
        <v>101</v>
      </c>
    </row>
    <row r="7" spans="1:4" x14ac:dyDescent="0.25">
      <c r="A7" t="s">
        <v>102</v>
      </c>
      <c r="B7" t="s">
        <v>95</v>
      </c>
      <c r="C7" s="20">
        <v>0</v>
      </c>
      <c r="D7" t="s">
        <v>98</v>
      </c>
    </row>
    <row r="8" spans="1:4" x14ac:dyDescent="0.25">
      <c r="A8" t="s">
        <v>103</v>
      </c>
      <c r="B8" t="s">
        <v>95</v>
      </c>
      <c r="C8" s="20">
        <v>0.56299999999999994</v>
      </c>
      <c r="D8" t="s">
        <v>104</v>
      </c>
    </row>
    <row r="9" spans="1:4" x14ac:dyDescent="0.25">
      <c r="A9" t="s">
        <v>105</v>
      </c>
      <c r="B9" t="s">
        <v>95</v>
      </c>
      <c r="C9" s="20">
        <v>5.0000000000000001E-3</v>
      </c>
      <c r="D9" t="s">
        <v>98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activeCell="A2" sqref="A2:D4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t="s">
        <v>106</v>
      </c>
      <c r="B2" t="s">
        <v>83</v>
      </c>
      <c r="C2" s="21">
        <v>0.623</v>
      </c>
      <c r="D2" t="s">
        <v>107</v>
      </c>
    </row>
    <row r="3" spans="1:4" x14ac:dyDescent="0.25">
      <c r="A3" t="s">
        <v>108</v>
      </c>
      <c r="B3" t="s">
        <v>95</v>
      </c>
      <c r="C3" s="21">
        <v>0.86799999999999999</v>
      </c>
      <c r="D3" t="s">
        <v>101</v>
      </c>
    </row>
    <row r="4" spans="1:4" x14ac:dyDescent="0.25">
      <c r="A4" t="s">
        <v>109</v>
      </c>
      <c r="B4" t="s">
        <v>83</v>
      </c>
      <c r="C4">
        <v>2.09</v>
      </c>
      <c r="D4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D13"/>
  <sheetViews>
    <sheetView workbookViewId="0">
      <selection activeCell="A2" sqref="A2:D13"/>
    </sheetView>
  </sheetViews>
  <sheetFormatPr defaultRowHeight="15" x14ac:dyDescent="0.25"/>
  <cols>
    <col min="1" max="1" width="64.57031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112</v>
      </c>
      <c r="D1" t="s">
        <v>113</v>
      </c>
    </row>
    <row r="2" spans="1:4" x14ac:dyDescent="0.25">
      <c r="A2" t="s">
        <v>114</v>
      </c>
    </row>
    <row r="3" spans="1:4" x14ac:dyDescent="0.25">
      <c r="A3" t="s">
        <v>115</v>
      </c>
      <c r="B3" t="s">
        <v>95</v>
      </c>
      <c r="C3" s="15">
        <v>0</v>
      </c>
      <c r="D3" t="s">
        <v>116</v>
      </c>
    </row>
    <row r="4" spans="1:4" x14ac:dyDescent="0.25">
      <c r="A4" t="s">
        <v>117</v>
      </c>
      <c r="B4" t="s">
        <v>95</v>
      </c>
      <c r="C4" s="15">
        <v>0</v>
      </c>
      <c r="D4" t="s">
        <v>116</v>
      </c>
    </row>
    <row r="5" spans="1:4" x14ac:dyDescent="0.25">
      <c r="A5" t="s">
        <v>118</v>
      </c>
      <c r="B5" t="s">
        <v>95</v>
      </c>
      <c r="C5" s="15">
        <v>0</v>
      </c>
      <c r="D5" t="s">
        <v>116</v>
      </c>
    </row>
    <row r="6" spans="1:4" x14ac:dyDescent="0.25">
      <c r="A6" t="s">
        <v>119</v>
      </c>
      <c r="B6" t="s">
        <v>83</v>
      </c>
      <c r="C6" s="21">
        <v>0.434</v>
      </c>
      <c r="D6" t="s">
        <v>116</v>
      </c>
    </row>
    <row r="7" spans="1:4" x14ac:dyDescent="0.25">
      <c r="A7" t="s">
        <v>120</v>
      </c>
      <c r="B7" t="s">
        <v>95</v>
      </c>
      <c r="C7" s="21">
        <v>5.0000000000000001E-4</v>
      </c>
      <c r="D7" t="s">
        <v>116</v>
      </c>
    </row>
    <row r="8" spans="1:4" x14ac:dyDescent="0.25">
      <c r="A8" t="s">
        <v>121</v>
      </c>
      <c r="B8" t="s">
        <v>95</v>
      </c>
      <c r="C8" s="15">
        <v>0</v>
      </c>
      <c r="D8" s="15">
        <v>0</v>
      </c>
    </row>
    <row r="9" spans="1:4" x14ac:dyDescent="0.25">
      <c r="A9" t="s">
        <v>122</v>
      </c>
      <c r="C9" s="15"/>
      <c r="D9" s="15"/>
    </row>
    <row r="10" spans="1:4" x14ac:dyDescent="0.25">
      <c r="A10" t="s">
        <v>123</v>
      </c>
      <c r="B10" t="s">
        <v>83</v>
      </c>
      <c r="C10" s="15">
        <v>0.32</v>
      </c>
      <c r="D10" t="s">
        <v>124</v>
      </c>
    </row>
    <row r="11" spans="1:4" x14ac:dyDescent="0.25">
      <c r="A11" t="s">
        <v>125</v>
      </c>
      <c r="B11" t="s">
        <v>95</v>
      </c>
      <c r="C11" s="15">
        <v>0.41</v>
      </c>
      <c r="D11" t="s">
        <v>126</v>
      </c>
    </row>
    <row r="12" spans="1:4" x14ac:dyDescent="0.25">
      <c r="A12" t="s">
        <v>127</v>
      </c>
      <c r="B12" t="s">
        <v>95</v>
      </c>
      <c r="C12" s="15">
        <v>0</v>
      </c>
      <c r="D12" t="s">
        <v>128</v>
      </c>
    </row>
    <row r="13" spans="1:4" x14ac:dyDescent="0.25">
      <c r="A13" t="s">
        <v>129</v>
      </c>
      <c r="B13" t="s">
        <v>95</v>
      </c>
      <c r="C13" s="21">
        <v>1.6000000000000001E-3</v>
      </c>
      <c r="D13" t="s">
        <v>130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D17"/>
  <sheetViews>
    <sheetView workbookViewId="0">
      <selection activeCell="A2" sqref="A2:D17"/>
    </sheetView>
  </sheetViews>
  <sheetFormatPr defaultRowHeight="15" x14ac:dyDescent="0.25"/>
  <cols>
    <col min="1" max="1" width="30.1406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92</v>
      </c>
      <c r="D1" t="s">
        <v>93</v>
      </c>
    </row>
    <row r="2" spans="1:4" x14ac:dyDescent="0.25">
      <c r="A2" t="s">
        <v>131</v>
      </c>
    </row>
    <row r="3" spans="1:4" x14ac:dyDescent="0.25">
      <c r="A3" t="s">
        <v>71</v>
      </c>
      <c r="B3" t="s">
        <v>132</v>
      </c>
      <c r="C3">
        <v>1</v>
      </c>
      <c r="D3">
        <v>0</v>
      </c>
    </row>
    <row r="4" spans="1:4" x14ac:dyDescent="0.25">
      <c r="A4" t="s">
        <v>133</v>
      </c>
      <c r="B4" t="s">
        <v>132</v>
      </c>
      <c r="C4">
        <v>0.01</v>
      </c>
      <c r="D4">
        <v>0</v>
      </c>
    </row>
    <row r="5" spans="1:4" x14ac:dyDescent="0.25">
      <c r="A5" t="s">
        <v>72</v>
      </c>
      <c r="B5" t="s">
        <v>132</v>
      </c>
      <c r="C5">
        <v>18</v>
      </c>
      <c r="D5">
        <v>63</v>
      </c>
    </row>
    <row r="6" spans="1:4" x14ac:dyDescent="0.25">
      <c r="A6" t="s">
        <v>134</v>
      </c>
      <c r="B6" t="s">
        <v>132</v>
      </c>
      <c r="C6">
        <v>0.2</v>
      </c>
      <c r="D6">
        <v>0.2</v>
      </c>
    </row>
    <row r="7" spans="1:4" x14ac:dyDescent="0.25">
      <c r="A7" t="s">
        <v>135</v>
      </c>
      <c r="B7" t="s">
        <v>132</v>
      </c>
      <c r="C7">
        <v>49</v>
      </c>
      <c r="D7">
        <v>20</v>
      </c>
    </row>
    <row r="8" spans="1:4" x14ac:dyDescent="0.25">
      <c r="A8" t="s">
        <v>136</v>
      </c>
      <c r="B8" t="s">
        <v>132</v>
      </c>
      <c r="C8">
        <v>0.7</v>
      </c>
      <c r="D8">
        <v>0.4</v>
      </c>
    </row>
    <row r="9" spans="1:4" x14ac:dyDescent="0.25">
      <c r="A9" t="s">
        <v>137</v>
      </c>
      <c r="B9" t="s">
        <v>132</v>
      </c>
      <c r="C9" s="22">
        <v>6609</v>
      </c>
      <c r="D9" s="22">
        <v>8000</v>
      </c>
    </row>
    <row r="10" spans="1:4" x14ac:dyDescent="0.25">
      <c r="A10" t="s">
        <v>138</v>
      </c>
      <c r="C10" s="22"/>
      <c r="D10" s="22"/>
    </row>
    <row r="11" spans="1:4" x14ac:dyDescent="0.25">
      <c r="A11" t="s">
        <v>71</v>
      </c>
      <c r="B11" t="s">
        <v>132</v>
      </c>
      <c r="C11">
        <v>0</v>
      </c>
      <c r="D11">
        <v>0</v>
      </c>
    </row>
    <row r="12" spans="1:4" x14ac:dyDescent="0.25">
      <c r="A12" t="s">
        <v>133</v>
      </c>
      <c r="B12" t="s">
        <v>132</v>
      </c>
      <c r="C12">
        <v>0</v>
      </c>
      <c r="D12">
        <v>0</v>
      </c>
    </row>
    <row r="13" spans="1:4" x14ac:dyDescent="0.25">
      <c r="A13" t="s">
        <v>72</v>
      </c>
      <c r="B13" t="s">
        <v>132</v>
      </c>
      <c r="C13">
        <v>20</v>
      </c>
      <c r="D13">
        <v>22</v>
      </c>
    </row>
    <row r="14" spans="1:4" x14ac:dyDescent="0.25">
      <c r="A14" t="s">
        <v>134</v>
      </c>
      <c r="B14" t="s">
        <v>132</v>
      </c>
      <c r="C14">
        <v>0.2</v>
      </c>
      <c r="D14">
        <v>0.3</v>
      </c>
    </row>
    <row r="15" spans="1:4" x14ac:dyDescent="0.25">
      <c r="A15" t="s">
        <v>135</v>
      </c>
      <c r="B15" t="s">
        <v>132</v>
      </c>
      <c r="C15">
        <v>14</v>
      </c>
      <c r="D15">
        <v>24</v>
      </c>
    </row>
    <row r="16" spans="1:4" x14ac:dyDescent="0.25">
      <c r="A16" t="s">
        <v>136</v>
      </c>
      <c r="B16" t="s">
        <v>132</v>
      </c>
      <c r="C16">
        <v>0.1</v>
      </c>
      <c r="D16">
        <v>0.3</v>
      </c>
    </row>
    <row r="17" spans="1:4" x14ac:dyDescent="0.25">
      <c r="A17" t="s">
        <v>137</v>
      </c>
      <c r="B17" t="s">
        <v>132</v>
      </c>
      <c r="C17" s="22">
        <v>10569</v>
      </c>
      <c r="D17" s="22">
        <v>7700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54F7-7F84-4744-9CA4-C221A28D6B22}">
  <dimension ref="A1:D50"/>
  <sheetViews>
    <sheetView tabSelected="1" workbookViewId="0">
      <selection sqref="A1:D50"/>
    </sheetView>
  </sheetViews>
  <sheetFormatPr defaultRowHeight="15" x14ac:dyDescent="0.25"/>
  <cols>
    <col min="1" max="1" width="54.85546875" customWidth="1"/>
    <col min="2" max="2" width="14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s="24" t="s">
        <v>151</v>
      </c>
    </row>
    <row r="3" spans="1:4" x14ac:dyDescent="0.25">
      <c r="A3" t="s">
        <v>71</v>
      </c>
      <c r="B3" t="s">
        <v>83</v>
      </c>
      <c r="C3">
        <v>207.4</v>
      </c>
      <c r="D3">
        <v>0</v>
      </c>
    </row>
    <row r="4" spans="1:4" x14ac:dyDescent="0.25">
      <c r="A4" t="s">
        <v>87</v>
      </c>
      <c r="B4" t="s">
        <v>83</v>
      </c>
      <c r="C4">
        <v>1.45</v>
      </c>
      <c r="D4">
        <v>0</v>
      </c>
    </row>
    <row r="5" spans="1:4" x14ac:dyDescent="0.25">
      <c r="A5" t="s">
        <v>86</v>
      </c>
      <c r="B5" t="s">
        <v>83</v>
      </c>
      <c r="C5">
        <v>812.2</v>
      </c>
      <c r="D5">
        <v>0</v>
      </c>
    </row>
    <row r="6" spans="1:4" x14ac:dyDescent="0.25">
      <c r="A6" t="s">
        <v>85</v>
      </c>
      <c r="B6" t="s">
        <v>83</v>
      </c>
      <c r="C6">
        <v>5.73</v>
      </c>
      <c r="D6">
        <v>0</v>
      </c>
    </row>
    <row r="7" spans="1:4" x14ac:dyDescent="0.25">
      <c r="A7" t="s">
        <v>84</v>
      </c>
      <c r="B7" t="s">
        <v>83</v>
      </c>
      <c r="C7">
        <v>203.8</v>
      </c>
      <c r="D7">
        <v>0</v>
      </c>
    </row>
    <row r="8" spans="1:4" x14ac:dyDescent="0.25">
      <c r="A8" s="24" t="s">
        <v>152</v>
      </c>
    </row>
    <row r="9" spans="1:4" x14ac:dyDescent="0.25">
      <c r="A9" s="24" t="s">
        <v>91</v>
      </c>
    </row>
    <row r="10" spans="1:4" x14ac:dyDescent="0.25">
      <c r="A10" t="s">
        <v>94</v>
      </c>
      <c r="B10" t="s">
        <v>95</v>
      </c>
      <c r="C10" s="20">
        <v>0.83199999999999996</v>
      </c>
      <c r="D10" t="s">
        <v>96</v>
      </c>
    </row>
    <row r="11" spans="1:4" x14ac:dyDescent="0.25">
      <c r="A11" t="s">
        <v>97</v>
      </c>
      <c r="B11" t="s">
        <v>95</v>
      </c>
      <c r="C11" s="20">
        <v>0</v>
      </c>
      <c r="D11" t="s">
        <v>98</v>
      </c>
    </row>
    <row r="12" spans="1:4" x14ac:dyDescent="0.25">
      <c r="A12" s="24" t="s">
        <v>99</v>
      </c>
      <c r="C12" s="20"/>
    </row>
    <row r="13" spans="1:4" x14ac:dyDescent="0.25">
      <c r="A13" t="s">
        <v>100</v>
      </c>
      <c r="B13" t="s">
        <v>83</v>
      </c>
      <c r="C13" s="20">
        <v>0.54700000000000004</v>
      </c>
      <c r="D13" t="s">
        <v>101</v>
      </c>
    </row>
    <row r="14" spans="1:4" x14ac:dyDescent="0.25">
      <c r="A14" t="s">
        <v>102</v>
      </c>
      <c r="B14" t="s">
        <v>95</v>
      </c>
      <c r="C14" s="20">
        <v>0</v>
      </c>
      <c r="D14" t="s">
        <v>98</v>
      </c>
    </row>
    <row r="15" spans="1:4" x14ac:dyDescent="0.25">
      <c r="A15" t="s">
        <v>103</v>
      </c>
      <c r="B15" t="s">
        <v>95</v>
      </c>
      <c r="C15" s="20">
        <v>0.56299999999999994</v>
      </c>
      <c r="D15" t="s">
        <v>104</v>
      </c>
    </row>
    <row r="16" spans="1:4" x14ac:dyDescent="0.25">
      <c r="A16" t="s">
        <v>105</v>
      </c>
      <c r="B16" t="s">
        <v>95</v>
      </c>
      <c r="C16" s="20">
        <v>5.0000000000000001E-3</v>
      </c>
      <c r="D16" t="s">
        <v>98</v>
      </c>
    </row>
    <row r="17" spans="1:4" x14ac:dyDescent="0.25">
      <c r="A17" s="24" t="s">
        <v>153</v>
      </c>
    </row>
    <row r="18" spans="1:4" x14ac:dyDescent="0.25">
      <c r="A18" t="s">
        <v>106</v>
      </c>
      <c r="B18" t="s">
        <v>83</v>
      </c>
      <c r="C18" s="21">
        <v>0.623</v>
      </c>
      <c r="D18" t="s">
        <v>107</v>
      </c>
    </row>
    <row r="19" spans="1:4" x14ac:dyDescent="0.25">
      <c r="A19" t="s">
        <v>108</v>
      </c>
      <c r="B19" t="s">
        <v>95</v>
      </c>
      <c r="C19" s="21">
        <v>0.86799999999999999</v>
      </c>
      <c r="D19" t="s">
        <v>101</v>
      </c>
    </row>
    <row r="20" spans="1:4" x14ac:dyDescent="0.25">
      <c r="A20" t="s">
        <v>109</v>
      </c>
      <c r="B20" t="s">
        <v>83</v>
      </c>
      <c r="C20">
        <v>2.09</v>
      </c>
      <c r="D20" t="s">
        <v>110</v>
      </c>
    </row>
    <row r="21" spans="1:4" x14ac:dyDescent="0.25">
      <c r="A21" s="24" t="s">
        <v>154</v>
      </c>
    </row>
    <row r="22" spans="1:4" x14ac:dyDescent="0.25">
      <c r="A22" s="24" t="s">
        <v>114</v>
      </c>
    </row>
    <row r="23" spans="1:4" x14ac:dyDescent="0.25">
      <c r="A23" t="s">
        <v>115</v>
      </c>
      <c r="B23" t="s">
        <v>95</v>
      </c>
      <c r="C23" s="15">
        <v>0</v>
      </c>
      <c r="D23" t="s">
        <v>116</v>
      </c>
    </row>
    <row r="24" spans="1:4" x14ac:dyDescent="0.25">
      <c r="A24" t="s">
        <v>117</v>
      </c>
      <c r="B24" t="s">
        <v>95</v>
      </c>
      <c r="C24" s="15">
        <v>0</v>
      </c>
      <c r="D24" t="s">
        <v>116</v>
      </c>
    </row>
    <row r="25" spans="1:4" x14ac:dyDescent="0.25">
      <c r="A25" t="s">
        <v>118</v>
      </c>
      <c r="B25" t="s">
        <v>95</v>
      </c>
      <c r="C25" s="15">
        <v>0</v>
      </c>
      <c r="D25" t="s">
        <v>116</v>
      </c>
    </row>
    <row r="26" spans="1:4" x14ac:dyDescent="0.25">
      <c r="A26" t="s">
        <v>119</v>
      </c>
      <c r="B26" t="s">
        <v>83</v>
      </c>
      <c r="C26" s="21">
        <v>0.434</v>
      </c>
      <c r="D26" t="s">
        <v>116</v>
      </c>
    </row>
    <row r="27" spans="1:4" x14ac:dyDescent="0.25">
      <c r="A27" t="s">
        <v>120</v>
      </c>
      <c r="B27" t="s">
        <v>95</v>
      </c>
      <c r="C27" s="21">
        <v>5.0000000000000001E-4</v>
      </c>
      <c r="D27" t="s">
        <v>116</v>
      </c>
    </row>
    <row r="28" spans="1:4" x14ac:dyDescent="0.25">
      <c r="A28" t="s">
        <v>121</v>
      </c>
      <c r="B28" t="s">
        <v>95</v>
      </c>
      <c r="C28" s="15">
        <v>0</v>
      </c>
      <c r="D28" s="15">
        <v>0</v>
      </c>
    </row>
    <row r="29" spans="1:4" x14ac:dyDescent="0.25">
      <c r="A29" s="24" t="s">
        <v>122</v>
      </c>
      <c r="C29" s="15"/>
      <c r="D29" s="15"/>
    </row>
    <row r="30" spans="1:4" x14ac:dyDescent="0.25">
      <c r="A30" t="s">
        <v>123</v>
      </c>
      <c r="B30" t="s">
        <v>83</v>
      </c>
      <c r="C30" s="15">
        <v>0.32</v>
      </c>
      <c r="D30" t="s">
        <v>124</v>
      </c>
    </row>
    <row r="31" spans="1:4" x14ac:dyDescent="0.25">
      <c r="A31" t="s">
        <v>125</v>
      </c>
      <c r="B31" t="s">
        <v>95</v>
      </c>
      <c r="C31" s="15">
        <v>0.41</v>
      </c>
      <c r="D31" t="s">
        <v>126</v>
      </c>
    </row>
    <row r="32" spans="1:4" x14ac:dyDescent="0.25">
      <c r="A32" t="s">
        <v>127</v>
      </c>
      <c r="B32" t="s">
        <v>95</v>
      </c>
      <c r="C32" s="15">
        <v>0</v>
      </c>
      <c r="D32" t="s">
        <v>128</v>
      </c>
    </row>
    <row r="33" spans="1:4" x14ac:dyDescent="0.25">
      <c r="A33" t="s">
        <v>129</v>
      </c>
      <c r="B33" t="s">
        <v>95</v>
      </c>
      <c r="C33" s="21">
        <v>1.6000000000000001E-3</v>
      </c>
      <c r="D33" t="s">
        <v>130</v>
      </c>
    </row>
    <row r="34" spans="1:4" x14ac:dyDescent="0.25">
      <c r="A34" t="s">
        <v>155</v>
      </c>
    </row>
    <row r="35" spans="1:4" x14ac:dyDescent="0.25">
      <c r="A35" s="24" t="s">
        <v>131</v>
      </c>
    </row>
    <row r="36" spans="1:4" x14ac:dyDescent="0.25">
      <c r="A36" t="s">
        <v>71</v>
      </c>
      <c r="B36" t="s">
        <v>132</v>
      </c>
      <c r="C36">
        <v>1</v>
      </c>
      <c r="D36">
        <v>0</v>
      </c>
    </row>
    <row r="37" spans="1:4" x14ac:dyDescent="0.25">
      <c r="A37" t="s">
        <v>133</v>
      </c>
      <c r="B37" t="s">
        <v>132</v>
      </c>
      <c r="C37">
        <v>0.01</v>
      </c>
      <c r="D37">
        <v>0</v>
      </c>
    </row>
    <row r="38" spans="1:4" x14ac:dyDescent="0.25">
      <c r="A38" t="s">
        <v>72</v>
      </c>
      <c r="B38" t="s">
        <v>132</v>
      </c>
      <c r="C38">
        <v>18</v>
      </c>
      <c r="D38">
        <v>63</v>
      </c>
    </row>
    <row r="39" spans="1:4" x14ac:dyDescent="0.25">
      <c r="A39" t="s">
        <v>134</v>
      </c>
      <c r="B39" t="s">
        <v>132</v>
      </c>
      <c r="C39">
        <v>0.2</v>
      </c>
      <c r="D39">
        <v>0.2</v>
      </c>
    </row>
    <row r="40" spans="1:4" x14ac:dyDescent="0.25">
      <c r="A40" t="s">
        <v>135</v>
      </c>
      <c r="B40" t="s">
        <v>132</v>
      </c>
      <c r="C40">
        <v>49</v>
      </c>
      <c r="D40">
        <v>20</v>
      </c>
    </row>
    <row r="41" spans="1:4" x14ac:dyDescent="0.25">
      <c r="A41" t="s">
        <v>136</v>
      </c>
      <c r="B41" t="s">
        <v>132</v>
      </c>
      <c r="C41">
        <v>0.7</v>
      </c>
      <c r="D41">
        <v>0.4</v>
      </c>
    </row>
    <row r="42" spans="1:4" x14ac:dyDescent="0.25">
      <c r="A42" t="s">
        <v>137</v>
      </c>
      <c r="B42" t="s">
        <v>132</v>
      </c>
      <c r="C42" s="22">
        <v>6609</v>
      </c>
      <c r="D42" s="22">
        <v>8000</v>
      </c>
    </row>
    <row r="43" spans="1:4" x14ac:dyDescent="0.25">
      <c r="A43" s="24" t="s">
        <v>138</v>
      </c>
      <c r="C43" s="22"/>
      <c r="D43" s="22"/>
    </row>
    <row r="44" spans="1:4" x14ac:dyDescent="0.25">
      <c r="A44" t="s">
        <v>71</v>
      </c>
      <c r="B44" t="s">
        <v>132</v>
      </c>
      <c r="C44">
        <v>0</v>
      </c>
      <c r="D44">
        <v>0</v>
      </c>
    </row>
    <row r="45" spans="1:4" x14ac:dyDescent="0.25">
      <c r="A45" t="s">
        <v>133</v>
      </c>
      <c r="B45" t="s">
        <v>132</v>
      </c>
      <c r="C45">
        <v>0</v>
      </c>
      <c r="D45">
        <v>0</v>
      </c>
    </row>
    <row r="46" spans="1:4" x14ac:dyDescent="0.25">
      <c r="A46" t="s">
        <v>72</v>
      </c>
      <c r="B46" t="s">
        <v>132</v>
      </c>
      <c r="C46">
        <v>20</v>
      </c>
      <c r="D46">
        <v>22</v>
      </c>
    </row>
    <row r="47" spans="1:4" x14ac:dyDescent="0.25">
      <c r="A47" t="s">
        <v>134</v>
      </c>
      <c r="B47" t="s">
        <v>132</v>
      </c>
      <c r="C47">
        <v>0.2</v>
      </c>
      <c r="D47">
        <v>0.3</v>
      </c>
    </row>
    <row r="48" spans="1:4" x14ac:dyDescent="0.25">
      <c r="A48" t="s">
        <v>135</v>
      </c>
      <c r="B48" t="s">
        <v>132</v>
      </c>
      <c r="C48">
        <v>14</v>
      </c>
      <c r="D48">
        <v>24</v>
      </c>
    </row>
    <row r="49" spans="1:4" x14ac:dyDescent="0.25">
      <c r="A49" t="s">
        <v>136</v>
      </c>
      <c r="B49" t="s">
        <v>132</v>
      </c>
      <c r="C49">
        <v>0.1</v>
      </c>
      <c r="D49">
        <v>0.3</v>
      </c>
    </row>
    <row r="50" spans="1:4" x14ac:dyDescent="0.25">
      <c r="A50" t="s">
        <v>137</v>
      </c>
      <c r="B50" t="s">
        <v>132</v>
      </c>
      <c r="C50" s="22">
        <v>10569</v>
      </c>
      <c r="D50" s="22">
        <v>7700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FATALITIES</vt:lpstr>
      <vt:lpstr>FATALITIES_5yr_avg</vt:lpstr>
      <vt:lpstr>SERIOUS INJURIES</vt:lpstr>
      <vt:lpstr>Sheet1</vt:lpstr>
      <vt:lpstr>NM_Fat_Ser_Inj</vt:lpstr>
      <vt:lpstr>Bridge_Main_Who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Scorecard_All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2026-06-22T18:57:24Z</dcterms:modified>
</cp:coreProperties>
</file>