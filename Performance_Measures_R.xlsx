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lmbeachtpa-my.sharepoint.com/personal/skan_palmbeachmpo_org/Documents/Documents/Performance_Measures/"/>
    </mc:Choice>
  </mc:AlternateContent>
  <xr:revisionPtr revIDLastSave="702" documentId="8_{6E25A293-DAE1-403C-87C6-760DEF9E0950}" xr6:coauthVersionLast="47" xr6:coauthVersionMax="47" xr10:uidLastSave="{D927EA24-64AA-4466-AC89-5F26D94228E1}"/>
  <bookViews>
    <workbookView xWindow="-120" yWindow="-120" windowWidth="29040" windowHeight="15720" firstSheet="1" activeTab="4" xr2:uid="{47865025-DE32-4D87-A21F-3C532F9D4B3D}"/>
  </bookViews>
  <sheets>
    <sheet name="FATALITIES" sheetId="7" r:id="rId1"/>
    <sheet name="Fatalities_FBR" sheetId="40" r:id="rId2"/>
    <sheet name="Injuries_FBR" sheetId="41" r:id="rId3"/>
    <sheet name="Fatalities_PT" sheetId="43" r:id="rId4"/>
    <sheet name="Injuries_PT" sheetId="42" r:id="rId5"/>
    <sheet name="FATALITIES_5yr_avg" sheetId="35" r:id="rId6"/>
    <sheet name="SERIOUS INJURIES" sheetId="8" r:id="rId7"/>
    <sheet name="NM_Fat_Ser_Inj" sheetId="36" r:id="rId8"/>
    <sheet name="Bridge_Main_Who" sheetId="37" r:id="rId9"/>
    <sheet name="PED FATINJ" sheetId="12" r:id="rId10"/>
    <sheet name="BIKE FATINJ" sheetId="13" r:id="rId11"/>
    <sheet name="BRIDGES" sheetId="14" r:id="rId12"/>
    <sheet name="PAVEMENT INTERSTATE" sheetId="15" r:id="rId13"/>
    <sheet name="PAVEMENT NON-INTERSTATE" sheetId="16" r:id="rId14"/>
    <sheet name="TTTR Index" sheetId="17" r:id="rId15"/>
    <sheet name="Int Reliability" sheetId="18" r:id="rId16"/>
    <sheet name="Non-Int Reliability" sheetId="19" r:id="rId17"/>
    <sheet name="UL_FRB" sheetId="26" r:id="rId18"/>
    <sheet name="UL_CB" sheetId="27" r:id="rId19"/>
    <sheet name="UL_SA" sheetId="28" r:id="rId20"/>
    <sheet name="UL_ST" sheetId="29" r:id="rId21"/>
    <sheet name="Trirail_Loco" sheetId="30" r:id="rId22"/>
    <sheet name="Trirail_PER_R" sheetId="31" r:id="rId23"/>
    <sheet name="Trirail_Sup_Main" sheetId="32" r:id="rId24"/>
    <sheet name="PT_Safety_SC" sheetId="34" r:id="rId25"/>
    <sheet name="Trirail_Facilties" sheetId="33" r:id="rId26"/>
    <sheet name="Scorecard_Safety" sheetId="21" r:id="rId27"/>
    <sheet name="Scorecard_Infrastructure" sheetId="22" r:id="rId28"/>
    <sheet name="Scorecard_Sys_Per_Reli" sheetId="23" r:id="rId29"/>
    <sheet name="Scorecard_Transit_As_Man" sheetId="24" r:id="rId30"/>
    <sheet name="Scorecard_Transit_Safety" sheetId="25" r:id="rId31"/>
    <sheet name="Scorecard_All" sheetId="39" r:id="rId32"/>
    <sheet name="FATALITIES COMP" sheetId="3" state="hidden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<sst xmlns="http://schemas.openxmlformats.org/spreadsheetml/2006/main" count="419" uniqueCount="168">
  <si>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</si>
  <si>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</si>
  <si>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</si>
  <si>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</si>
  <si>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</si>
  <si>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</si>
  <si>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</si>
  <si>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</si>
  <si>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</si>
  <si>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</si>
  <si>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</si>
  <si>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</si>
  <si>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</si>
  <si>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</si>
  <si>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</si>
  <si>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</si>
  <si>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</si>
  <si>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</si>
  <si>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</si>
  <si>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</si>
  <si>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</si>
  <si>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</si>
  <si>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</si>
  <si>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</si>
  <si>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</si>
  <si>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</si>
  <si>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</si>
  <si>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</si>
  <si>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</si>
  <si>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</si>
  <si>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</si>
  <si>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</si>
  <si>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</si>
  <si>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</si>
  <si>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</si>
  <si>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</si>
  <si>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</si>
  <si>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</si>
  <si>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</si>
  <si>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</si>
  <si>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</si>
  <si>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</si>
  <si>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</si>
  <si>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</si>
  <si>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</si>
  <si>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</si>
  <si>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</si>
  <si>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</si>
  <si>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</si>
  <si>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</si>
  <si>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</si>
  <si>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</si>
  <si>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</si>
  <si>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</si>
  <si>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</si>
  <si>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</si>
  <si>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</si>
  <si>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 Johns</t>
  </si>
  <si>
    <t>St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</si>
  <si>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</si>
  <si>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</si>
  <si>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</si>
  <si>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</si>
  <si>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</si>
  <si>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</si>
  <si>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</si>
  <si>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</si>
  <si>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YEAR</t>
  </si>
  <si>
    <t>Year</t>
  </si>
  <si>
    <t>Number</t>
  </si>
  <si>
    <t>Rate</t>
  </si>
  <si>
    <t>Fatalities</t>
  </si>
  <si>
    <t>Injuries</t>
  </si>
  <si>
    <t>Poor Condition</t>
  </si>
  <si>
    <t>Good Condition</t>
  </si>
  <si>
    <t>Good</t>
  </si>
  <si>
    <t>Poor</t>
  </si>
  <si>
    <t>Target Poor</t>
  </si>
  <si>
    <t>Target</t>
  </si>
  <si>
    <t>Realiability Ratio</t>
  </si>
  <si>
    <t>Realiable Miles</t>
  </si>
  <si>
    <t xml:space="preserve">Reliable Miles </t>
  </si>
  <si>
    <t>Target Good</t>
  </si>
  <si>
    <t>No</t>
  </si>
  <si>
    <t>Non-motorized Fatalities and Serious Injuries</t>
  </si>
  <si>
    <t>Serious Injury Rate</t>
  </si>
  <si>
    <t>Serious Injuries</t>
  </si>
  <si>
    <t>Fatal Crash Rate</t>
  </si>
  <si>
    <t>Five_Year_Avg</t>
  </si>
  <si>
    <t>Goal_Met</t>
  </si>
  <si>
    <t>Metric</t>
  </si>
  <si>
    <t>Bridges</t>
  </si>
  <si>
    <t>Actual (2024)</t>
  </si>
  <si>
    <t>Target (2025)</t>
  </si>
  <si>
    <t>Bridges in Good Condition</t>
  </si>
  <si>
    <t>Yes</t>
  </si>
  <si>
    <t>≥ 50%</t>
  </si>
  <si>
    <t>Bridges in Poor Condition</t>
  </si>
  <si>
    <t>&lt; 5%</t>
  </si>
  <si>
    <t>Pavement</t>
  </si>
  <si>
    <t>Interstate Pavements in Good Condition</t>
  </si>
  <si>
    <t>≥ 60%</t>
  </si>
  <si>
    <t>Interstate Pavements in Poor Condition</t>
  </si>
  <si>
    <t>Non-Interstate NHS Pavements in Good Condition</t>
  </si>
  <si>
    <t>≥ 40%</t>
  </si>
  <si>
    <t>Non-Interstate NHS Pavements in Poor Condition</t>
  </si>
  <si>
    <t>% of reliable person-miles traveled on the Interstate</t>
  </si>
  <si>
    <t>≥ 75%</t>
  </si>
  <si>
    <t>% of reliable person-miles traveled on the Non-Interstate NHS</t>
  </si>
  <si>
    <t>Truck Travel Time Reliability on the Interstate</t>
  </si>
  <si>
    <t>≤ 2.00</t>
  </si>
  <si>
    <t>Goal Met</t>
  </si>
  <si>
    <t>Actual (2023)</t>
  </si>
  <si>
    <t>Target (2024)</t>
  </si>
  <si>
    <t>Palm Tran</t>
  </si>
  <si>
    <t>Palm Tran Articulated Buses Exceeding Useful Life</t>
  </si>
  <si>
    <t>≤ 10%</t>
  </si>
  <si>
    <t>Palm Tran Fixed Route Buses Exceeding Useful Life</t>
  </si>
  <si>
    <t>Palm Tran Cutaway Bus Exceeding Useful Life</t>
  </si>
  <si>
    <t>Palm Tran Support Vehicles Exceeding Useful Life</t>
  </si>
  <si>
    <t>Palm Tran Support Trucks Exceeding Useful Life</t>
  </si>
  <si>
    <t>Palm Tran Facilities Exceeding Useful Life</t>
  </si>
  <si>
    <t>Tri-Rail</t>
  </si>
  <si>
    <t>Tri-Rail Rolling Stock Exceeding Useful Life</t>
  </si>
  <si>
    <t>≤ 30%</t>
  </si>
  <si>
    <t>Tri-Rail Maintenance &amp; Support Vehicles &gt; 8 years old</t>
  </si>
  <si>
    <t>≤ 41%</t>
  </si>
  <si>
    <t>Tri-Rail Terminals, Facilities, and Offices Less than 2.5 on 5 point scale</t>
  </si>
  <si>
    <t>≤ 5%</t>
  </si>
  <si>
    <t>Tri-Rail Rail track restrictions (slow orders)</t>
  </si>
  <si>
    <t>≤ 3%</t>
  </si>
  <si>
    <t>Fixed Route Bus</t>
  </si>
  <si>
    <t>Fatality Rate (per 100k VRM)</t>
  </si>
  <si>
    <t>Injury Rate (per 100k VRM)</t>
  </si>
  <si>
    <t>Safety Events</t>
  </si>
  <si>
    <t>Safety Event Rate (per 100k VRM)</t>
  </si>
  <si>
    <t>System Reliability (VRM/failures)</t>
  </si>
  <si>
    <t>Paratransit (Palm Tran Connection)</t>
  </si>
  <si>
    <t xml:space="preserve">Percent Of Vehicles </t>
  </si>
  <si>
    <t>Actual 2025</t>
  </si>
  <si>
    <t>Target 2026</t>
  </si>
  <si>
    <t xml:space="preserve">Number of Fatalities </t>
  </si>
  <si>
    <t>Number of fatalities &amp; serious injuries</t>
  </si>
  <si>
    <t>Target:</t>
  </si>
  <si>
    <t>FDOT</t>
  </si>
  <si>
    <t>County Highway Agency</t>
  </si>
  <si>
    <t>City or Municipal Highway Agency</t>
  </si>
  <si>
    <t>Other State Agencies</t>
  </si>
  <si>
    <t>Town or Township Highway Agency</t>
  </si>
  <si>
    <t>Fair</t>
  </si>
  <si>
    <t>SAFETY (5 -YR Avg.)</t>
  </si>
  <si>
    <t>INFRASTRUCTURE</t>
  </si>
  <si>
    <t>TRANSIT SAFETY: PALM TRAN</t>
  </si>
  <si>
    <t>≤ 21</t>
  </si>
  <si>
    <t>≤ 38</t>
  </si>
  <si>
    <t>≤0.5</t>
  </si>
  <si>
    <t>≤14,000</t>
  </si>
  <si>
    <t>≤19</t>
  </si>
  <si>
    <t>≤0.2</t>
  </si>
  <si>
    <t>≤20</t>
  </si>
  <si>
    <t>≤7700</t>
  </si>
  <si>
    <t>≤0.1</t>
  </si>
  <si>
    <t xml:space="preserve">Actual </t>
  </si>
  <si>
    <t xml:space="preserve">Target </t>
  </si>
  <si>
    <t>SYSTEM PERFORMANCE RELIABILITY</t>
  </si>
  <si>
    <t>TRANSIT ASSETS: PALM TRAN</t>
  </si>
  <si>
    <t>TRANSIT ASSETS: TRI-RAIL</t>
  </si>
  <si>
    <t>≤7,700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</si>
</sst>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4" fontId="0" fillId="0" borderId="0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1" applyNumberFormat="1" applyFont="1"/>
    <xf numFmtId="9" fontId="0" fillId="0" borderId="0" xfId="0" applyNumberFormat="1"/>
    <xf numFmtId="2" fontId="0" fillId="0" borderId="0" xfId="1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1" applyNumberFormat="1" applyFont="1" applyBorder="1" applyAlignment="1">
      <alignment vertical="center"/>
    </xf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9F3B-BA9E-497C-8DE5-DBDC8EE87CC9}">
  <dimension ref="A1:C8"/>
  <sheetViews>
    <sheetView workbookViewId="0">
      <selection sqref="A1:C8"/>
    </sheetView>
  </sheetViews>
  <sheetFormatPr defaultRowHeight="15" x14ac:dyDescent="0.25"/>
  <cols>
    <col min="2" max="2" width="18.85546875" customWidth="1"/>
  </cols>
  <sheetData>
    <row r="1" spans="1:3" x14ac:dyDescent="0.25">
      <c r="A1" t="s">
        <v>68</v>
      </c>
      <c r="B1" t="s">
        <v>69</v>
      </c>
      <c r="C1" t="s">
        <v>70</v>
      </c>
    </row>
    <row r="2" spans="1:3" x14ac:dyDescent="0.25">
      <c r="A2">
        <v>2018</v>
      </c>
      <c r="B2" s="7">
        <v>183</v>
      </c>
      <c r="C2">
        <v>1.29</v>
      </c>
    </row>
    <row r="3" spans="1:3" x14ac:dyDescent="0.25">
      <c r="A3">
        <v>2019</v>
      </c>
      <c r="B3" s="7">
        <v>174</v>
      </c>
      <c r="C3">
        <v>1.21</v>
      </c>
    </row>
    <row r="4" spans="1:3" x14ac:dyDescent="0.25">
      <c r="A4">
        <v>2020</v>
      </c>
      <c r="B4" s="7">
        <v>185</v>
      </c>
      <c r="C4">
        <v>1.4</v>
      </c>
    </row>
    <row r="5" spans="1:3" x14ac:dyDescent="0.25">
      <c r="A5">
        <v>2021</v>
      </c>
      <c r="B5" s="7">
        <v>215</v>
      </c>
      <c r="C5">
        <v>1.56</v>
      </c>
    </row>
    <row r="6" spans="1:3" x14ac:dyDescent="0.25">
      <c r="A6">
        <v>2022</v>
      </c>
      <c r="B6" s="7">
        <v>226</v>
      </c>
      <c r="C6">
        <v>1.63</v>
      </c>
    </row>
    <row r="7" spans="1:3" x14ac:dyDescent="0.25">
      <c r="A7">
        <v>2023</v>
      </c>
      <c r="B7" s="7">
        <v>181</v>
      </c>
      <c r="C7">
        <v>1.22</v>
      </c>
    </row>
    <row r="8" spans="1:3" x14ac:dyDescent="0.25">
      <c r="A8">
        <v>2024</v>
      </c>
      <c r="B8" s="7">
        <v>210</v>
      </c>
      <c r="C8">
        <v>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7101-897A-4014-9280-A072728809AD}">
  <dimension ref="A1:C7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68</v>
      </c>
      <c r="B1" t="s">
        <v>69</v>
      </c>
      <c r="C1" t="s">
        <v>78</v>
      </c>
    </row>
    <row r="2" spans="1:3" x14ac:dyDescent="0.25">
      <c r="A2">
        <v>2020</v>
      </c>
      <c r="B2" s="7">
        <v>0</v>
      </c>
      <c r="C2">
        <v>0</v>
      </c>
    </row>
    <row r="3" spans="1:3" x14ac:dyDescent="0.25">
      <c r="A3">
        <v>2021</v>
      </c>
      <c r="B3" s="7">
        <v>1</v>
      </c>
      <c r="C3">
        <v>0</v>
      </c>
    </row>
    <row r="4" spans="1:3" x14ac:dyDescent="0.25">
      <c r="A4">
        <v>2022</v>
      </c>
      <c r="B4" s="7">
        <v>0</v>
      </c>
      <c r="C4">
        <v>0</v>
      </c>
    </row>
    <row r="5" spans="1:3" x14ac:dyDescent="0.25">
      <c r="A5">
        <v>2023</v>
      </c>
      <c r="B5" s="7">
        <v>2</v>
      </c>
      <c r="C5">
        <v>0</v>
      </c>
    </row>
    <row r="6" spans="1:3" x14ac:dyDescent="0.25">
      <c r="A6">
        <v>2024</v>
      </c>
      <c r="B6" s="7">
        <v>1</v>
      </c>
      <c r="C6">
        <v>0</v>
      </c>
    </row>
    <row r="7" spans="1:3" x14ac:dyDescent="0.25">
      <c r="A7">
        <v>2025</v>
      </c>
      <c r="B7" s="7">
        <v>0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94A3-296A-46EF-8113-E8549A384F2F}">
  <dimension ref="A1:C7"/>
  <sheetViews>
    <sheetView workbookViewId="0">
      <selection activeCell="C2" sqref="C2:C7"/>
    </sheetView>
  </sheetViews>
  <sheetFormatPr defaultRowHeight="15" x14ac:dyDescent="0.25"/>
  <sheetData>
    <row r="1" spans="1:3" x14ac:dyDescent="0.25">
      <c r="A1" t="s">
        <v>68</v>
      </c>
      <c r="B1" t="s">
        <v>69</v>
      </c>
      <c r="C1" t="s">
        <v>78</v>
      </c>
    </row>
    <row r="2" spans="1:3" x14ac:dyDescent="0.25">
      <c r="A2">
        <v>2020</v>
      </c>
      <c r="B2" s="7">
        <v>40</v>
      </c>
      <c r="C2">
        <v>21</v>
      </c>
    </row>
    <row r="3" spans="1:3" x14ac:dyDescent="0.25">
      <c r="A3">
        <v>2021</v>
      </c>
      <c r="B3" s="7">
        <v>34</v>
      </c>
      <c r="C3">
        <v>21</v>
      </c>
    </row>
    <row r="4" spans="1:3" x14ac:dyDescent="0.25">
      <c r="A4">
        <v>2022</v>
      </c>
      <c r="B4" s="7">
        <v>13</v>
      </c>
      <c r="C4">
        <v>21</v>
      </c>
    </row>
    <row r="5" spans="1:3" x14ac:dyDescent="0.25">
      <c r="A5">
        <v>2023</v>
      </c>
      <c r="B5" s="7">
        <v>3</v>
      </c>
      <c r="C5">
        <v>21</v>
      </c>
    </row>
    <row r="6" spans="1:3" x14ac:dyDescent="0.25">
      <c r="A6">
        <v>2024</v>
      </c>
      <c r="B6" s="7">
        <v>18</v>
      </c>
      <c r="C6">
        <v>21</v>
      </c>
    </row>
    <row r="7" spans="1:3" x14ac:dyDescent="0.25">
      <c r="A7">
        <v>2025</v>
      </c>
      <c r="B7" s="7">
        <v>44</v>
      </c>
      <c r="C7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C448-D29E-4D56-B518-9888199E4A8F}">
  <dimension ref="A1:C7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68</v>
      </c>
      <c r="B1" t="s">
        <v>69</v>
      </c>
      <c r="C1" t="s">
        <v>78</v>
      </c>
    </row>
    <row r="2" spans="1:3" x14ac:dyDescent="0.25">
      <c r="A2">
        <v>2020</v>
      </c>
      <c r="B2" s="7">
        <v>0</v>
      </c>
      <c r="C2">
        <v>0</v>
      </c>
    </row>
    <row r="3" spans="1:3" x14ac:dyDescent="0.25">
      <c r="A3">
        <v>2021</v>
      </c>
      <c r="B3" s="7">
        <v>0</v>
      </c>
      <c r="C3">
        <v>0</v>
      </c>
    </row>
    <row r="4" spans="1:3" x14ac:dyDescent="0.25">
      <c r="A4">
        <v>2022</v>
      </c>
      <c r="B4" s="7">
        <v>0</v>
      </c>
      <c r="C4">
        <v>0</v>
      </c>
    </row>
    <row r="5" spans="1:3" x14ac:dyDescent="0.25">
      <c r="A5">
        <v>2023</v>
      </c>
      <c r="B5" s="7">
        <v>0</v>
      </c>
      <c r="C5">
        <v>0</v>
      </c>
    </row>
    <row r="6" spans="1:3" x14ac:dyDescent="0.25">
      <c r="A6">
        <v>2024</v>
      </c>
      <c r="B6" s="7">
        <v>0</v>
      </c>
      <c r="C6">
        <v>0</v>
      </c>
    </row>
    <row r="7" spans="1:3" x14ac:dyDescent="0.25">
      <c r="A7">
        <v>2025</v>
      </c>
      <c r="B7" s="7">
        <v>0</v>
      </c>
      <c r="C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B93D-F24B-4A12-85B0-59C321E2A7E5}">
  <dimension ref="A1:C7"/>
  <sheetViews>
    <sheetView tabSelected="1" workbookViewId="0">
      <selection activeCell="F12" sqref="F12"/>
    </sheetView>
  </sheetViews>
  <sheetFormatPr defaultRowHeight="15" x14ac:dyDescent="0.25"/>
  <sheetData>
    <row r="1" spans="1:3" x14ac:dyDescent="0.25">
      <c r="A1" t="s">
        <v>68</v>
      </c>
      <c r="B1" t="s">
        <v>69</v>
      </c>
      <c r="C1" t="s">
        <v>78</v>
      </c>
    </row>
    <row r="2" spans="1:3" x14ac:dyDescent="0.25">
      <c r="A2">
        <v>2020</v>
      </c>
      <c r="B2" s="7">
        <v>25</v>
      </c>
      <c r="C2">
        <v>19</v>
      </c>
    </row>
    <row r="3" spans="1:3" x14ac:dyDescent="0.25">
      <c r="A3">
        <v>2021</v>
      </c>
      <c r="B3" s="7">
        <v>17</v>
      </c>
      <c r="C3">
        <v>19</v>
      </c>
    </row>
    <row r="4" spans="1:3" x14ac:dyDescent="0.25">
      <c r="A4">
        <v>2022</v>
      </c>
      <c r="B4" s="7">
        <v>26</v>
      </c>
      <c r="C4">
        <v>19</v>
      </c>
    </row>
    <row r="5" spans="1:3" x14ac:dyDescent="0.25">
      <c r="A5">
        <v>2023</v>
      </c>
      <c r="B5" s="7">
        <v>21</v>
      </c>
      <c r="C5">
        <v>19</v>
      </c>
    </row>
    <row r="6" spans="1:3" x14ac:dyDescent="0.25">
      <c r="A6">
        <v>2024</v>
      </c>
      <c r="B6" s="7">
        <v>20</v>
      </c>
      <c r="C6">
        <v>19</v>
      </c>
    </row>
    <row r="7" spans="1:3" x14ac:dyDescent="0.25">
      <c r="A7">
        <v>2025</v>
      </c>
      <c r="B7" s="7">
        <v>17</v>
      </c>
      <c r="C7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FB29-F89A-4D75-A5F1-D5586DB88999}">
  <dimension ref="A1:B8"/>
  <sheetViews>
    <sheetView workbookViewId="0">
      <selection activeCell="G1" sqref="G1"/>
    </sheetView>
  </sheetViews>
  <sheetFormatPr defaultRowHeight="15" x14ac:dyDescent="0.25"/>
  <cols>
    <col min="2" max="2" width="18.85546875" customWidth="1"/>
  </cols>
  <sheetData>
    <row r="1" spans="1:2" x14ac:dyDescent="0.25">
      <c r="A1" t="s">
        <v>68</v>
      </c>
      <c r="B1" t="s">
        <v>141</v>
      </c>
    </row>
    <row r="2" spans="1:2" x14ac:dyDescent="0.25">
      <c r="A2">
        <v>2018</v>
      </c>
      <c r="B2" s="7">
        <v>183</v>
      </c>
    </row>
    <row r="3" spans="1:2" x14ac:dyDescent="0.25">
      <c r="A3">
        <v>2019</v>
      </c>
      <c r="B3" s="7">
        <v>174</v>
      </c>
    </row>
    <row r="4" spans="1:2" x14ac:dyDescent="0.25">
      <c r="A4">
        <v>2020</v>
      </c>
      <c r="B4" s="7">
        <v>185</v>
      </c>
    </row>
    <row r="5" spans="1:2" x14ac:dyDescent="0.25">
      <c r="A5">
        <v>2021</v>
      </c>
      <c r="B5" s="7">
        <v>215</v>
      </c>
    </row>
    <row r="6" spans="1:2" x14ac:dyDescent="0.25">
      <c r="A6">
        <v>2022</v>
      </c>
      <c r="B6" s="7">
        <v>226</v>
      </c>
    </row>
    <row r="7" spans="1:2" x14ac:dyDescent="0.25">
      <c r="A7">
        <v>2023</v>
      </c>
      <c r="B7" s="7">
        <v>181</v>
      </c>
    </row>
    <row r="8" spans="1:2" x14ac:dyDescent="0.25">
      <c r="A8">
        <v>2024</v>
      </c>
      <c r="B8" s="7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1906-E774-4362-B18C-74A3CE45CFF8}">
  <dimension ref="A1:C8"/>
  <sheetViews>
    <sheetView workbookViewId="0">
      <selection sqref="A1:C8"/>
    </sheetView>
  </sheetViews>
  <sheetFormatPr defaultRowHeight="15" x14ac:dyDescent="0.25"/>
  <cols>
    <col min="2" max="2" width="14.5703125" customWidth="1"/>
  </cols>
  <sheetData>
    <row r="1" spans="1:3" x14ac:dyDescent="0.25">
      <c r="A1" t="s">
        <v>68</v>
      </c>
      <c r="B1" t="s">
        <v>69</v>
      </c>
      <c r="C1" t="s">
        <v>70</v>
      </c>
    </row>
    <row r="2" spans="1:3" x14ac:dyDescent="0.25">
      <c r="A2">
        <v>2018</v>
      </c>
      <c r="B2" s="9">
        <v>1194</v>
      </c>
      <c r="C2" s="8">
        <v>8.42</v>
      </c>
    </row>
    <row r="3" spans="1:3" x14ac:dyDescent="0.25">
      <c r="A3">
        <v>2019</v>
      </c>
      <c r="B3" s="9">
        <v>1020</v>
      </c>
      <c r="C3" s="8">
        <v>7.08</v>
      </c>
    </row>
    <row r="4" spans="1:3" x14ac:dyDescent="0.25">
      <c r="A4">
        <v>2020</v>
      </c>
      <c r="B4" s="10">
        <v>916</v>
      </c>
      <c r="C4" s="8">
        <v>6.91</v>
      </c>
    </row>
    <row r="5" spans="1:3" x14ac:dyDescent="0.25">
      <c r="A5">
        <v>2021</v>
      </c>
      <c r="B5" s="10">
        <v>890</v>
      </c>
      <c r="C5" s="8">
        <v>6.45</v>
      </c>
    </row>
    <row r="6" spans="1:3" x14ac:dyDescent="0.25">
      <c r="A6">
        <v>2022</v>
      </c>
      <c r="B6" s="10">
        <v>818</v>
      </c>
      <c r="C6" s="8">
        <v>5.73</v>
      </c>
    </row>
    <row r="7" spans="1:3" x14ac:dyDescent="0.25">
      <c r="A7">
        <v>2023</v>
      </c>
      <c r="B7" s="10">
        <v>766</v>
      </c>
      <c r="C7" s="8">
        <v>5.16</v>
      </c>
    </row>
    <row r="8" spans="1:3" x14ac:dyDescent="0.25">
      <c r="A8">
        <v>2024</v>
      </c>
      <c r="B8" s="7">
        <v>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1516-3CB9-4A84-B657-9470D488082C}">
  <dimension ref="A1:C10"/>
  <sheetViews>
    <sheetView workbookViewId="0">
      <selection sqref="A1:C10"/>
    </sheetView>
  </sheetViews>
  <sheetFormatPr defaultRowHeight="15" x14ac:dyDescent="0.25"/>
  <cols>
    <col min="2" max="2" width="39.42578125" customWidth="1"/>
  </cols>
  <sheetData>
    <row r="1" spans="1:3" x14ac:dyDescent="0.25">
      <c r="A1" t="s">
        <v>68</v>
      </c>
      <c r="B1" t="s">
        <v>142</v>
      </c>
      <c r="C1" t="s">
        <v>143</v>
      </c>
    </row>
    <row r="2" spans="1:3" x14ac:dyDescent="0.25">
      <c r="A2">
        <v>2016</v>
      </c>
      <c r="B2" s="25">
        <v>196</v>
      </c>
      <c r="C2">
        <v>0</v>
      </c>
    </row>
    <row r="3" spans="1:3" x14ac:dyDescent="0.25">
      <c r="A3">
        <v>2017</v>
      </c>
      <c r="B3" s="25">
        <v>209</v>
      </c>
      <c r="C3">
        <v>0</v>
      </c>
    </row>
    <row r="4" spans="1:3" x14ac:dyDescent="0.25">
      <c r="A4">
        <v>2018</v>
      </c>
      <c r="B4" s="9">
        <v>214</v>
      </c>
      <c r="C4">
        <v>0</v>
      </c>
    </row>
    <row r="5" spans="1:3" x14ac:dyDescent="0.25">
      <c r="A5">
        <v>2019</v>
      </c>
      <c r="B5" s="9">
        <v>217</v>
      </c>
      <c r="C5">
        <v>0</v>
      </c>
    </row>
    <row r="6" spans="1:3" x14ac:dyDescent="0.25">
      <c r="A6">
        <v>2020</v>
      </c>
      <c r="B6" s="10">
        <v>198</v>
      </c>
      <c r="C6">
        <v>0</v>
      </c>
    </row>
    <row r="7" spans="1:3" x14ac:dyDescent="0.25">
      <c r="A7">
        <v>2021</v>
      </c>
      <c r="B7" s="10">
        <v>190</v>
      </c>
      <c r="C7">
        <v>0</v>
      </c>
    </row>
    <row r="8" spans="1:3" x14ac:dyDescent="0.25">
      <c r="A8">
        <v>2022</v>
      </c>
      <c r="B8" s="10">
        <v>201</v>
      </c>
      <c r="C8">
        <v>0</v>
      </c>
    </row>
    <row r="9" spans="1:3" x14ac:dyDescent="0.25">
      <c r="A9">
        <v>2023</v>
      </c>
      <c r="B9" s="10">
        <v>199</v>
      </c>
      <c r="C9">
        <v>0</v>
      </c>
    </row>
    <row r="10" spans="1:3" x14ac:dyDescent="0.25">
      <c r="A10">
        <v>2024</v>
      </c>
      <c r="B10" s="25">
        <v>241</v>
      </c>
      <c r="C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2D94-618B-4319-8748-A0A0A4D4F4C7}">
  <dimension ref="A1:F4"/>
  <sheetViews>
    <sheetView workbookViewId="0">
      <selection sqref="A1:F4"/>
    </sheetView>
  </sheetViews>
  <sheetFormatPr defaultRowHeight="15" x14ac:dyDescent="0.25"/>
  <sheetData>
    <row r="1" spans="1:6" x14ac:dyDescent="0.25">
      <c r="B1" t="s">
        <v>144</v>
      </c>
      <c r="C1" t="s">
        <v>145</v>
      </c>
      <c r="D1" t="s">
        <v>146</v>
      </c>
      <c r="E1" t="s">
        <v>147</v>
      </c>
      <c r="F1" t="s">
        <v>148</v>
      </c>
    </row>
    <row r="2" spans="1:6" x14ac:dyDescent="0.25">
      <c r="A2" t="s">
        <v>76</v>
      </c>
      <c r="B2">
        <v>1344</v>
      </c>
      <c r="C2">
        <v>0</v>
      </c>
      <c r="D2">
        <v>505</v>
      </c>
      <c r="E2">
        <v>0</v>
      </c>
      <c r="F2">
        <v>0</v>
      </c>
    </row>
    <row r="3" spans="1:6" x14ac:dyDescent="0.25">
      <c r="A3" t="s">
        <v>149</v>
      </c>
      <c r="B3">
        <v>120516</v>
      </c>
      <c r="C3">
        <v>45878</v>
      </c>
      <c r="D3">
        <v>3725</v>
      </c>
      <c r="E3">
        <v>318</v>
      </c>
      <c r="F3">
        <v>931</v>
      </c>
    </row>
    <row r="4" spans="1:6" x14ac:dyDescent="0.25">
      <c r="A4" t="s">
        <v>75</v>
      </c>
      <c r="B4">
        <v>439965</v>
      </c>
      <c r="C4">
        <v>147050</v>
      </c>
      <c r="D4">
        <v>18480</v>
      </c>
      <c r="E4">
        <v>2853</v>
      </c>
      <c r="F4">
        <v>2391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CF1F-DA10-4F3C-BBFE-3F6465156627}">
  <dimension ref="A1:C8"/>
  <sheetViews>
    <sheetView workbookViewId="0">
      <selection activeCell="D1" sqref="D1:D1048576"/>
    </sheetView>
  </sheetViews>
  <sheetFormatPr defaultRowHeight="15" x14ac:dyDescent="0.25"/>
  <sheetData>
    <row r="1" spans="1:3" x14ac:dyDescent="0.25">
      <c r="A1" t="s">
        <v>68</v>
      </c>
      <c r="B1" t="s">
        <v>71</v>
      </c>
      <c r="C1" t="s">
        <v>72</v>
      </c>
    </row>
    <row r="2" spans="1:3" x14ac:dyDescent="0.25">
      <c r="A2">
        <v>2018</v>
      </c>
      <c r="B2" s="11">
        <v>43</v>
      </c>
      <c r="C2" s="11">
        <v>101</v>
      </c>
    </row>
    <row r="3" spans="1:3" x14ac:dyDescent="0.25">
      <c r="A3">
        <v>2019</v>
      </c>
      <c r="B3" s="11">
        <v>43</v>
      </c>
      <c r="C3" s="11">
        <v>113</v>
      </c>
    </row>
    <row r="4" spans="1:3" x14ac:dyDescent="0.25">
      <c r="A4">
        <v>2020</v>
      </c>
      <c r="B4" s="11">
        <v>44</v>
      </c>
      <c r="C4" s="11">
        <v>83</v>
      </c>
    </row>
    <row r="5" spans="1:3" x14ac:dyDescent="0.25">
      <c r="A5">
        <v>2021</v>
      </c>
      <c r="B5" s="11">
        <v>49</v>
      </c>
      <c r="C5" s="11">
        <v>89</v>
      </c>
    </row>
    <row r="6" spans="1:3" x14ac:dyDescent="0.25">
      <c r="A6">
        <v>2022</v>
      </c>
      <c r="B6" s="11">
        <v>56</v>
      </c>
      <c r="C6" s="11">
        <v>92</v>
      </c>
    </row>
    <row r="7" spans="1:3" x14ac:dyDescent="0.25">
      <c r="A7">
        <v>2023</v>
      </c>
      <c r="B7" s="11">
        <v>46</v>
      </c>
      <c r="C7" s="11">
        <v>90</v>
      </c>
    </row>
    <row r="8" spans="1:3" x14ac:dyDescent="0.25">
      <c r="A8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1C92-FA59-4C0B-BE43-3045F1F2387D}">
  <dimension ref="A1:C8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68</v>
      </c>
      <c r="B1" t="s">
        <v>71</v>
      </c>
      <c r="C1" t="s">
        <v>72</v>
      </c>
    </row>
    <row r="2" spans="1:3" x14ac:dyDescent="0.25">
      <c r="A2">
        <v>2018</v>
      </c>
      <c r="B2" s="11">
        <v>6</v>
      </c>
      <c r="C2" s="11">
        <v>64</v>
      </c>
    </row>
    <row r="3" spans="1:3" x14ac:dyDescent="0.25">
      <c r="A3">
        <v>2019</v>
      </c>
      <c r="B3" s="11">
        <v>5</v>
      </c>
      <c r="C3" s="11">
        <v>56</v>
      </c>
    </row>
    <row r="4" spans="1:3" x14ac:dyDescent="0.25">
      <c r="A4">
        <v>2020</v>
      </c>
      <c r="B4" s="11">
        <v>12</v>
      </c>
      <c r="C4" s="11">
        <v>59</v>
      </c>
    </row>
    <row r="5" spans="1:3" x14ac:dyDescent="0.25">
      <c r="A5">
        <v>2021</v>
      </c>
      <c r="B5" s="11">
        <v>8</v>
      </c>
      <c r="C5" s="11">
        <v>44</v>
      </c>
    </row>
    <row r="6" spans="1:3" x14ac:dyDescent="0.25">
      <c r="A6">
        <v>2022</v>
      </c>
      <c r="B6" s="11">
        <v>14</v>
      </c>
      <c r="C6" s="11">
        <v>39</v>
      </c>
    </row>
    <row r="7" spans="1:3" x14ac:dyDescent="0.25">
      <c r="A7">
        <v>2023</v>
      </c>
      <c r="B7" s="11">
        <v>11</v>
      </c>
      <c r="C7" s="11">
        <v>52</v>
      </c>
    </row>
    <row r="8" spans="1:3" x14ac:dyDescent="0.25">
      <c r="A8">
        <v>2024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0512-11B4-4E63-A14D-F810CE5069FA}">
  <dimension ref="A1:E9"/>
  <sheetViews>
    <sheetView workbookViewId="0">
      <selection sqref="A1:E9"/>
    </sheetView>
  </sheetViews>
  <sheetFormatPr defaultRowHeight="15" x14ac:dyDescent="0.25"/>
  <cols>
    <col min="2" max="2" width="23" customWidth="1"/>
    <col min="3" max="3" width="17.85546875" customWidth="1"/>
    <col min="4" max="4" width="11.42578125" customWidth="1"/>
    <col min="5" max="5" width="10.28515625" customWidth="1"/>
  </cols>
  <sheetData>
    <row r="1" spans="1:5" x14ac:dyDescent="0.25">
      <c r="A1" t="s">
        <v>68</v>
      </c>
      <c r="B1" t="s">
        <v>74</v>
      </c>
      <c r="C1" t="s">
        <v>73</v>
      </c>
      <c r="D1" t="s">
        <v>82</v>
      </c>
      <c r="E1" t="s">
        <v>77</v>
      </c>
    </row>
    <row r="2" spans="1:5" x14ac:dyDescent="0.25">
      <c r="A2">
        <v>2017</v>
      </c>
      <c r="B2" s="12">
        <v>0.87660000000000005</v>
      </c>
      <c r="C2" s="12">
        <v>1.1599999999999999E-2</v>
      </c>
      <c r="D2" s="15">
        <v>0.5</v>
      </c>
      <c r="E2" s="15">
        <v>0.05</v>
      </c>
    </row>
    <row r="3" spans="1:5" x14ac:dyDescent="0.25">
      <c r="A3">
        <v>2018</v>
      </c>
      <c r="B3" s="12">
        <v>0.87439999999999996</v>
      </c>
      <c r="C3" s="12">
        <v>1.04E-2</v>
      </c>
      <c r="D3" s="15">
        <v>0.5</v>
      </c>
      <c r="E3" s="15">
        <v>0.05</v>
      </c>
    </row>
    <row r="4" spans="1:5" x14ac:dyDescent="0.25">
      <c r="A4">
        <v>2019</v>
      </c>
      <c r="B4" s="12">
        <v>0.8518</v>
      </c>
      <c r="C4" s="12">
        <v>1.0200000000000001E-2</v>
      </c>
      <c r="D4" s="15">
        <v>0.5</v>
      </c>
      <c r="E4" s="15">
        <v>0.05</v>
      </c>
    </row>
    <row r="5" spans="1:5" x14ac:dyDescent="0.25">
      <c r="A5">
        <v>2020</v>
      </c>
      <c r="B5" s="13">
        <v>0.82230000000000003</v>
      </c>
      <c r="C5" s="13">
        <v>1.03E-2</v>
      </c>
      <c r="D5" s="15">
        <v>0.5</v>
      </c>
      <c r="E5" s="15">
        <v>0.05</v>
      </c>
    </row>
    <row r="6" spans="1:5" x14ac:dyDescent="0.25">
      <c r="A6">
        <v>2021</v>
      </c>
      <c r="B6" s="13">
        <v>0.82099999999999995</v>
      </c>
      <c r="C6" s="13">
        <v>1.03E-2</v>
      </c>
      <c r="D6" s="15">
        <v>0.5</v>
      </c>
      <c r="E6" s="15">
        <v>0.05</v>
      </c>
    </row>
    <row r="7" spans="1:5" x14ac:dyDescent="0.25">
      <c r="A7">
        <v>2022</v>
      </c>
      <c r="B7" s="13">
        <v>0.81659999999999999</v>
      </c>
      <c r="C7" s="13">
        <v>2.2099999999999998E-2</v>
      </c>
      <c r="D7" s="15">
        <v>0.5</v>
      </c>
      <c r="E7" s="15">
        <v>0.05</v>
      </c>
    </row>
    <row r="8" spans="1:5" x14ac:dyDescent="0.25">
      <c r="A8">
        <v>2023</v>
      </c>
      <c r="B8" s="13">
        <v>0.8417</v>
      </c>
      <c r="C8" s="13">
        <v>0</v>
      </c>
      <c r="D8" s="15">
        <v>0.5</v>
      </c>
      <c r="E8" s="15">
        <v>0.05</v>
      </c>
    </row>
    <row r="9" spans="1:5" x14ac:dyDescent="0.25">
      <c r="A9">
        <v>2024</v>
      </c>
      <c r="B9" s="13">
        <v>0.83230000000000004</v>
      </c>
      <c r="C9" s="13">
        <v>0</v>
      </c>
      <c r="D9" s="15">
        <v>0.5</v>
      </c>
      <c r="E9" s="15">
        <v>0.05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0D99-1FC4-4882-8732-94F3CEFC30AD}">
  <dimension ref="A1:E10"/>
  <sheetViews>
    <sheetView workbookViewId="0">
      <selection sqref="A1:E10"/>
    </sheetView>
  </sheetViews>
  <sheetFormatPr defaultRowHeight="15" x14ac:dyDescent="0.25"/>
  <cols>
    <col min="4" max="4" width="17.5703125" customWidth="1"/>
    <col min="5" max="5" width="10.7109375" customWidth="1"/>
  </cols>
  <sheetData>
    <row r="1" spans="1:5" x14ac:dyDescent="0.25">
      <c r="A1" t="s">
        <v>68</v>
      </c>
      <c r="B1" t="s">
        <v>75</v>
      </c>
      <c r="C1" t="s">
        <v>76</v>
      </c>
      <c r="D1" t="s">
        <v>82</v>
      </c>
      <c r="E1" t="s">
        <v>77</v>
      </c>
    </row>
    <row r="2" spans="1:5" x14ac:dyDescent="0.25">
      <c r="A2">
        <v>2016</v>
      </c>
      <c r="B2" s="14">
        <v>0.62443452234924668</v>
      </c>
      <c r="C2" s="14">
        <v>0</v>
      </c>
      <c r="D2" s="15">
        <v>0.6</v>
      </c>
      <c r="E2" s="15">
        <v>0.05</v>
      </c>
    </row>
    <row r="3" spans="1:5" x14ac:dyDescent="0.25">
      <c r="A3">
        <v>2017</v>
      </c>
      <c r="B3" s="14">
        <v>0.55162388800839957</v>
      </c>
      <c r="C3" s="14">
        <v>0</v>
      </c>
      <c r="D3" s="15">
        <v>0.6</v>
      </c>
      <c r="E3" s="15">
        <v>0.05</v>
      </c>
    </row>
    <row r="4" spans="1:5" x14ac:dyDescent="0.25">
      <c r="A4">
        <v>2018</v>
      </c>
      <c r="B4" s="14">
        <v>0.23152561717146494</v>
      </c>
      <c r="C4" s="14">
        <v>0</v>
      </c>
      <c r="D4" s="15">
        <v>0.6</v>
      </c>
      <c r="E4" s="15">
        <v>0.05</v>
      </c>
    </row>
    <row r="5" spans="1:5" x14ac:dyDescent="0.25">
      <c r="A5">
        <v>2019</v>
      </c>
      <c r="B5" s="14">
        <v>0.6120405364892294</v>
      </c>
      <c r="C5" s="14">
        <v>0</v>
      </c>
      <c r="D5" s="15">
        <v>0.6</v>
      </c>
      <c r="E5" s="15">
        <v>0.05</v>
      </c>
    </row>
    <row r="6" spans="1:5" x14ac:dyDescent="0.25">
      <c r="A6">
        <v>2020</v>
      </c>
      <c r="B6" s="14">
        <v>0.53156185428499947</v>
      </c>
      <c r="C6" s="14">
        <v>2.3164663695412471E-3</v>
      </c>
      <c r="D6" s="15">
        <v>0.6</v>
      </c>
      <c r="E6" s="15">
        <v>0.05</v>
      </c>
    </row>
    <row r="7" spans="1:5" x14ac:dyDescent="0.25">
      <c r="A7">
        <v>2021</v>
      </c>
      <c r="B7" s="14">
        <v>0.59548474375249016</v>
      </c>
      <c r="C7" s="14">
        <v>0</v>
      </c>
      <c r="D7" s="15">
        <v>0.6</v>
      </c>
      <c r="E7" s="15">
        <v>0.05</v>
      </c>
    </row>
    <row r="8" spans="1:5" x14ac:dyDescent="0.25">
      <c r="A8">
        <v>2022</v>
      </c>
      <c r="B8" s="14">
        <v>0.64978966485364564</v>
      </c>
      <c r="C8" s="14">
        <v>0</v>
      </c>
      <c r="D8" s="15">
        <v>0.6</v>
      </c>
      <c r="E8" s="15">
        <v>0.05</v>
      </c>
    </row>
    <row r="9" spans="1:5" x14ac:dyDescent="0.25">
      <c r="A9">
        <v>2023</v>
      </c>
      <c r="B9" s="14">
        <v>0.67284019126365335</v>
      </c>
      <c r="C9" s="14">
        <v>0</v>
      </c>
      <c r="D9" s="15">
        <v>0.6</v>
      </c>
      <c r="E9" s="15">
        <v>0.05</v>
      </c>
    </row>
    <row r="10" spans="1:5" x14ac:dyDescent="0.25">
      <c r="A10">
        <v>2024</v>
      </c>
      <c r="B10" s="14">
        <v>0.54689337525889492</v>
      </c>
      <c r="C10" s="14">
        <v>0</v>
      </c>
      <c r="D10" s="15">
        <v>0.6</v>
      </c>
      <c r="E10" s="15">
        <v>0.05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A97D-C280-43BD-9CE7-FD2678F34525}">
  <dimension ref="A1:E10"/>
  <sheetViews>
    <sheetView workbookViewId="0">
      <selection sqref="A1:E9"/>
    </sheetView>
  </sheetViews>
  <sheetFormatPr defaultRowHeight="15" x14ac:dyDescent="0.25"/>
  <cols>
    <col min="4" max="4" width="12.140625" customWidth="1"/>
    <col min="5" max="5" width="10.7109375" customWidth="1"/>
  </cols>
  <sheetData>
    <row r="1" spans="1:5" x14ac:dyDescent="0.25">
      <c r="A1" t="s">
        <v>68</v>
      </c>
      <c r="B1" t="s">
        <v>75</v>
      </c>
      <c r="C1" t="s">
        <v>76</v>
      </c>
      <c r="D1" t="s">
        <v>82</v>
      </c>
      <c r="E1" t="s">
        <v>77</v>
      </c>
    </row>
    <row r="2" spans="1:5" x14ac:dyDescent="0.25">
      <c r="A2">
        <v>2016</v>
      </c>
      <c r="B2" s="14">
        <v>0.41732931876094154</v>
      </c>
      <c r="C2" s="14">
        <v>4.133293028811119E-3</v>
      </c>
      <c r="D2" s="15">
        <v>0.4</v>
      </c>
      <c r="E2" s="15">
        <v>0.05</v>
      </c>
    </row>
    <row r="3" spans="1:5" x14ac:dyDescent="0.25">
      <c r="A3">
        <v>2017</v>
      </c>
      <c r="B3" s="14">
        <v>0.40326727732291612</v>
      </c>
      <c r="C3" s="14">
        <v>4.7433807541014108E-3</v>
      </c>
      <c r="D3" s="15">
        <v>0.4</v>
      </c>
      <c r="E3" s="15">
        <v>0.05</v>
      </c>
    </row>
    <row r="4" spans="1:5" x14ac:dyDescent="0.25">
      <c r="A4">
        <v>2018</v>
      </c>
      <c r="B4" s="14">
        <v>0.3993237399368687</v>
      </c>
      <c r="C4" s="14">
        <v>1.1041547082289223E-3</v>
      </c>
      <c r="D4" s="15">
        <v>0.4</v>
      </c>
      <c r="E4" s="15">
        <v>0.05</v>
      </c>
    </row>
    <row r="5" spans="1:5" x14ac:dyDescent="0.25">
      <c r="A5">
        <v>2019</v>
      </c>
      <c r="B5" s="14">
        <v>0.44012189345761077</v>
      </c>
      <c r="C5" s="14">
        <v>7.7127374554185454E-4</v>
      </c>
      <c r="D5" s="15">
        <v>0.4</v>
      </c>
      <c r="E5" s="15">
        <v>0.05</v>
      </c>
    </row>
    <row r="6" spans="1:5" x14ac:dyDescent="0.25">
      <c r="A6">
        <v>2020</v>
      </c>
      <c r="B6" s="14"/>
      <c r="C6" s="14"/>
      <c r="D6" s="15">
        <v>0.4</v>
      </c>
      <c r="E6" s="15">
        <v>0.05</v>
      </c>
    </row>
    <row r="7" spans="1:5" x14ac:dyDescent="0.25">
      <c r="A7">
        <v>2021</v>
      </c>
      <c r="B7" s="14">
        <v>0.45140422172861489</v>
      </c>
      <c r="C7" s="14">
        <v>1.1865054133893733E-2</v>
      </c>
      <c r="D7" s="15">
        <v>0.4</v>
      </c>
      <c r="E7" s="15">
        <v>0.05</v>
      </c>
    </row>
    <row r="8" spans="1:5" x14ac:dyDescent="0.25">
      <c r="A8">
        <v>2022</v>
      </c>
      <c r="B8" s="14">
        <v>0.53310737351607596</v>
      </c>
      <c r="C8" s="14">
        <v>1.1247159960461604E-2</v>
      </c>
      <c r="D8" s="15">
        <v>0.4</v>
      </c>
      <c r="E8" s="15">
        <v>0.05</v>
      </c>
    </row>
    <row r="9" spans="1:5" x14ac:dyDescent="0.25">
      <c r="A9">
        <v>2023</v>
      </c>
      <c r="B9" s="14">
        <v>0.56439990042298305</v>
      </c>
      <c r="C9" s="14">
        <v>5.872631344607763E-3</v>
      </c>
      <c r="D9" s="15">
        <v>0.4</v>
      </c>
      <c r="E9" s="15">
        <v>0.05</v>
      </c>
    </row>
    <row r="10" spans="1:5" x14ac:dyDescent="0.25">
      <c r="A10">
        <v>2024</v>
      </c>
      <c r="B10" s="14">
        <v>0.56348839111292615</v>
      </c>
      <c r="C10" s="14">
        <v>5.0004473506685835E-3</v>
      </c>
      <c r="D10" s="15">
        <v>0.4</v>
      </c>
      <c r="E10" s="15">
        <v>0.05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A857-D05E-4917-9408-63BAE4D13234}">
  <dimension ref="A1:C9"/>
  <sheetViews>
    <sheetView workbookViewId="0">
      <selection activeCell="I12" sqref="I12"/>
    </sheetView>
  </sheetViews>
  <sheetFormatPr defaultRowHeight="15" x14ac:dyDescent="0.25"/>
  <cols>
    <col min="2" max="2" width="17" customWidth="1"/>
  </cols>
  <sheetData>
    <row r="1" spans="1:3" x14ac:dyDescent="0.25">
      <c r="A1" t="s">
        <v>68</v>
      </c>
      <c r="B1" t="s">
        <v>79</v>
      </c>
      <c r="C1" t="s">
        <v>78</v>
      </c>
    </row>
    <row r="2" spans="1:3" x14ac:dyDescent="0.25">
      <c r="A2">
        <v>2017</v>
      </c>
      <c r="B2" s="16">
        <v>1.63</v>
      </c>
      <c r="C2" s="19">
        <v>2</v>
      </c>
    </row>
    <row r="3" spans="1:3" x14ac:dyDescent="0.25">
      <c r="A3">
        <v>2018</v>
      </c>
      <c r="B3" s="16">
        <v>1.77</v>
      </c>
      <c r="C3" s="19">
        <v>2</v>
      </c>
    </row>
    <row r="4" spans="1:3" x14ac:dyDescent="0.25">
      <c r="A4">
        <v>2019</v>
      </c>
      <c r="B4" s="16">
        <v>1.86</v>
      </c>
      <c r="C4" s="19">
        <v>2</v>
      </c>
    </row>
    <row r="5" spans="1:3" x14ac:dyDescent="0.25">
      <c r="A5">
        <v>2020</v>
      </c>
      <c r="B5" s="17">
        <v>1.66</v>
      </c>
      <c r="C5" s="19">
        <v>2</v>
      </c>
    </row>
    <row r="6" spans="1:3" x14ac:dyDescent="0.25">
      <c r="A6">
        <v>2021</v>
      </c>
      <c r="B6" s="17">
        <v>1.78</v>
      </c>
      <c r="C6" s="19">
        <v>2</v>
      </c>
    </row>
    <row r="7" spans="1:3" x14ac:dyDescent="0.25">
      <c r="A7">
        <v>2022</v>
      </c>
      <c r="B7" s="17">
        <v>1.95</v>
      </c>
      <c r="C7" s="19">
        <v>2</v>
      </c>
    </row>
    <row r="8" spans="1:3" x14ac:dyDescent="0.25">
      <c r="A8">
        <v>2023</v>
      </c>
      <c r="B8" s="17">
        <v>2.02</v>
      </c>
      <c r="C8" s="19">
        <v>2</v>
      </c>
    </row>
    <row r="9" spans="1:3" x14ac:dyDescent="0.25">
      <c r="A9">
        <v>2024</v>
      </c>
      <c r="B9" s="17">
        <v>2.09</v>
      </c>
      <c r="C9" s="19">
        <v>2</v>
      </c>
    </row>
  </sheetData>
  <conditionalFormatting sqref="B2:B9">
    <cfRule type="expression" dxfId="2" priority="1">
      <formula>#REF!=B2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0083-044C-43F3-8315-2A23C120E975}">
  <dimension ref="A1:C9"/>
  <sheetViews>
    <sheetView workbookViewId="0">
      <selection activeCell="G7" sqref="G7"/>
    </sheetView>
  </sheetViews>
  <sheetFormatPr defaultRowHeight="15" x14ac:dyDescent="0.25"/>
  <cols>
    <col min="2" max="2" width="17.5703125" customWidth="1"/>
  </cols>
  <sheetData>
    <row r="1" spans="1:3" x14ac:dyDescent="0.25">
      <c r="A1" t="s">
        <v>68</v>
      </c>
      <c r="B1" t="s">
        <v>80</v>
      </c>
      <c r="C1" t="s">
        <v>78</v>
      </c>
    </row>
    <row r="2" spans="1:3" x14ac:dyDescent="0.25">
      <c r="A2">
        <v>2017</v>
      </c>
      <c r="B2" s="18">
        <v>0.85399999999999998</v>
      </c>
      <c r="C2" s="15">
        <v>0.7</v>
      </c>
    </row>
    <row r="3" spans="1:3" x14ac:dyDescent="0.25">
      <c r="A3">
        <v>2018</v>
      </c>
      <c r="B3" s="18">
        <v>0.85399999999999998</v>
      </c>
      <c r="C3" s="15">
        <v>0.7</v>
      </c>
    </row>
    <row r="4" spans="1:3" x14ac:dyDescent="0.25">
      <c r="A4">
        <v>2019</v>
      </c>
      <c r="B4" s="18">
        <v>0.78</v>
      </c>
      <c r="C4" s="15">
        <v>0.7</v>
      </c>
    </row>
    <row r="5" spans="1:3" x14ac:dyDescent="0.25">
      <c r="A5">
        <v>2020</v>
      </c>
      <c r="B5" s="13">
        <v>0.93600000000000005</v>
      </c>
      <c r="C5" s="15">
        <v>0.7</v>
      </c>
    </row>
    <row r="6" spans="1:3" x14ac:dyDescent="0.25">
      <c r="A6">
        <v>2021</v>
      </c>
      <c r="B6" s="13">
        <v>0.83099999999999996</v>
      </c>
      <c r="C6" s="15">
        <v>0.7</v>
      </c>
    </row>
    <row r="7" spans="1:3" x14ac:dyDescent="0.25">
      <c r="A7">
        <v>2022</v>
      </c>
      <c r="B7" s="13">
        <v>0.77600000000000002</v>
      </c>
      <c r="C7" s="15">
        <v>0.7</v>
      </c>
    </row>
    <row r="8" spans="1:3" x14ac:dyDescent="0.25">
      <c r="A8">
        <v>2023</v>
      </c>
      <c r="B8" s="13">
        <v>0.755</v>
      </c>
      <c r="C8" s="15">
        <v>0.7</v>
      </c>
    </row>
    <row r="9" spans="1:3" x14ac:dyDescent="0.25">
      <c r="A9">
        <v>2024</v>
      </c>
      <c r="B9" s="13">
        <v>0.623</v>
      </c>
      <c r="C9" s="15">
        <v>0.7</v>
      </c>
    </row>
  </sheetData>
  <conditionalFormatting sqref="B2:B9">
    <cfRule type="expression" dxfId="1" priority="1">
      <formula>#REF!=B2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C645-8F86-45BC-BA51-DC3AF3602CC7}">
  <dimension ref="A1:C9"/>
  <sheetViews>
    <sheetView workbookViewId="0">
      <selection activeCell="C2" sqref="C2:C9"/>
    </sheetView>
  </sheetViews>
  <sheetFormatPr defaultRowHeight="15" x14ac:dyDescent="0.25"/>
  <cols>
    <col min="2" max="2" width="13.28515625" customWidth="1"/>
  </cols>
  <sheetData>
    <row r="1" spans="1:3" x14ac:dyDescent="0.25">
      <c r="A1" t="s">
        <v>68</v>
      </c>
      <c r="B1" t="s">
        <v>81</v>
      </c>
      <c r="C1" t="s">
        <v>78</v>
      </c>
    </row>
    <row r="2" spans="1:3" x14ac:dyDescent="0.25">
      <c r="A2">
        <v>2017</v>
      </c>
      <c r="B2" s="18">
        <v>0.91</v>
      </c>
      <c r="C2" s="15">
        <v>0.5</v>
      </c>
    </row>
    <row r="3" spans="1:3" x14ac:dyDescent="0.25">
      <c r="A3">
        <v>2018</v>
      </c>
      <c r="B3" s="18">
        <v>0.93100000000000005</v>
      </c>
      <c r="C3" s="15">
        <v>0.5</v>
      </c>
    </row>
    <row r="4" spans="1:3" x14ac:dyDescent="0.25">
      <c r="A4">
        <v>2019</v>
      </c>
      <c r="B4" s="18">
        <v>0.94</v>
      </c>
      <c r="C4" s="15">
        <v>0.5</v>
      </c>
    </row>
    <row r="5" spans="1:3" x14ac:dyDescent="0.25">
      <c r="A5">
        <v>2020</v>
      </c>
      <c r="B5" s="13">
        <v>0.98</v>
      </c>
      <c r="C5" s="15">
        <v>0.5</v>
      </c>
    </row>
    <row r="6" spans="1:3" x14ac:dyDescent="0.25">
      <c r="A6">
        <v>2021</v>
      </c>
      <c r="B6" s="13">
        <v>0.96799999999999997</v>
      </c>
      <c r="C6" s="15">
        <v>0.5</v>
      </c>
    </row>
    <row r="7" spans="1:3" x14ac:dyDescent="0.25">
      <c r="A7">
        <v>2022</v>
      </c>
      <c r="B7" s="13">
        <v>0.92400000000000004</v>
      </c>
      <c r="C7" s="15">
        <v>0.5</v>
      </c>
    </row>
    <row r="8" spans="1:3" x14ac:dyDescent="0.25">
      <c r="A8">
        <v>2023</v>
      </c>
      <c r="B8" s="13">
        <v>0.89200000000000002</v>
      </c>
      <c r="C8" s="15">
        <v>0.5</v>
      </c>
    </row>
    <row r="9" spans="1:3" x14ac:dyDescent="0.25">
      <c r="A9">
        <v>2024</v>
      </c>
      <c r="B9" s="13">
        <v>0.86799999999999999</v>
      </c>
      <c r="C9" s="15">
        <v>0.5</v>
      </c>
    </row>
  </sheetData>
  <conditionalFormatting sqref="B2:B9">
    <cfRule type="expression" dxfId="0" priority="1">
      <formula>#REF!=B2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5EE8-3393-48FF-8B94-A68F78870296}">
  <dimension ref="A1:C9"/>
  <sheetViews>
    <sheetView workbookViewId="0">
      <selection activeCell="C5" sqref="C5"/>
    </sheetView>
  </sheetViews>
  <sheetFormatPr defaultRowHeight="15" x14ac:dyDescent="0.25"/>
  <cols>
    <col min="2" max="2" width="19.5703125" customWidth="1"/>
  </cols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2018</v>
      </c>
      <c r="B2" s="15">
        <v>0</v>
      </c>
      <c r="C2" s="15">
        <v>0.15</v>
      </c>
    </row>
    <row r="3" spans="1:3" x14ac:dyDescent="0.25">
      <c r="A3">
        <v>2019</v>
      </c>
      <c r="B3" s="15">
        <v>0.65</v>
      </c>
      <c r="C3" s="15">
        <v>0.15</v>
      </c>
    </row>
    <row r="4" spans="1:3" x14ac:dyDescent="0.25">
      <c r="A4">
        <v>2020</v>
      </c>
      <c r="B4" s="15">
        <v>7.0000000000000007E-2</v>
      </c>
      <c r="C4" s="15">
        <v>0.15</v>
      </c>
    </row>
    <row r="5" spans="1:3" x14ac:dyDescent="0.25">
      <c r="A5">
        <v>2021</v>
      </c>
      <c r="B5" s="15">
        <v>0.15</v>
      </c>
      <c r="C5" s="15">
        <v>0.15</v>
      </c>
    </row>
    <row r="6" spans="1:3" x14ac:dyDescent="0.25">
      <c r="A6">
        <v>2022</v>
      </c>
      <c r="B6" s="15">
        <v>0.1</v>
      </c>
      <c r="C6" s="15">
        <v>0.15</v>
      </c>
    </row>
    <row r="7" spans="1:3" x14ac:dyDescent="0.25">
      <c r="A7">
        <v>2023</v>
      </c>
      <c r="B7" s="15">
        <v>0.18</v>
      </c>
      <c r="C7" s="15">
        <v>0.15</v>
      </c>
    </row>
    <row r="8" spans="1:3" x14ac:dyDescent="0.25">
      <c r="A8">
        <v>2024</v>
      </c>
      <c r="B8" s="15">
        <v>0.19</v>
      </c>
      <c r="C8" s="15">
        <v>0.15</v>
      </c>
    </row>
    <row r="9" spans="1:3" x14ac:dyDescent="0.25">
      <c r="A9">
        <v>2025</v>
      </c>
      <c r="B9" s="15">
        <v>0.13</v>
      </c>
      <c r="C9" s="15">
        <v>0.15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8E2E-41F2-4128-AF4B-DB787856BFE5}">
  <dimension ref="A1:C9"/>
  <sheetViews>
    <sheetView workbookViewId="0">
      <selection sqref="A1:C9"/>
    </sheetView>
  </sheetViews>
  <sheetFormatPr defaultRowHeight="15" x14ac:dyDescent="0.25"/>
  <cols>
    <col min="2" max="2" width="19.5703125" customWidth="1"/>
  </cols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2018</v>
      </c>
      <c r="B2" s="15">
        <v>0</v>
      </c>
      <c r="C2" s="15">
        <v>0.1477</v>
      </c>
    </row>
    <row r="3" spans="1:3" x14ac:dyDescent="0.25">
      <c r="A3">
        <v>2019</v>
      </c>
      <c r="B3" s="15">
        <v>0.36</v>
      </c>
      <c r="C3" s="15">
        <v>0.1477</v>
      </c>
    </row>
    <row r="4" spans="1:3" x14ac:dyDescent="0.25">
      <c r="A4">
        <v>2020</v>
      </c>
      <c r="B4" s="15">
        <v>0.21</v>
      </c>
      <c r="C4" s="15">
        <v>0.1477</v>
      </c>
    </row>
    <row r="5" spans="1:3" x14ac:dyDescent="0.25">
      <c r="A5">
        <v>2021</v>
      </c>
      <c r="B5" s="15">
        <v>0.56000000000000005</v>
      </c>
      <c r="C5" s="15">
        <v>0.1477</v>
      </c>
    </row>
    <row r="6" spans="1:3" x14ac:dyDescent="0.25">
      <c r="A6">
        <v>2022</v>
      </c>
      <c r="B6" s="15">
        <v>0.09</v>
      </c>
      <c r="C6" s="15">
        <v>0.1477</v>
      </c>
    </row>
    <row r="7" spans="1:3" x14ac:dyDescent="0.25">
      <c r="A7">
        <v>2023</v>
      </c>
      <c r="B7" s="15">
        <v>0.15</v>
      </c>
      <c r="C7" s="15">
        <v>0.1477</v>
      </c>
    </row>
    <row r="8" spans="1:3" x14ac:dyDescent="0.25">
      <c r="A8">
        <v>2024</v>
      </c>
      <c r="B8" s="15">
        <v>0.04</v>
      </c>
      <c r="C8" s="15">
        <v>0.1477</v>
      </c>
    </row>
    <row r="9" spans="1:3" x14ac:dyDescent="0.25">
      <c r="A9">
        <v>2025</v>
      </c>
      <c r="B9" s="15">
        <v>0.14799999999999999</v>
      </c>
      <c r="C9" s="15">
        <v>0.1477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03F-1360-4C9E-9A0D-37F31FFD517C}">
  <dimension ref="A1:C9"/>
  <sheetViews>
    <sheetView workbookViewId="0">
      <selection activeCell="D27" sqref="D27"/>
    </sheetView>
  </sheetViews>
  <sheetFormatPr defaultRowHeight="15" x14ac:dyDescent="0.25"/>
  <cols>
    <col min="2" max="2" width="19.5703125" customWidth="1"/>
  </cols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2018</v>
      </c>
      <c r="B2" s="15">
        <v>0.26</v>
      </c>
      <c r="C2" s="15">
        <v>0</v>
      </c>
    </row>
    <row r="3" spans="1:3" x14ac:dyDescent="0.25">
      <c r="A3">
        <v>2019</v>
      </c>
      <c r="B3" s="15">
        <v>0.86</v>
      </c>
      <c r="C3" s="15">
        <v>0</v>
      </c>
    </row>
    <row r="4" spans="1:3" x14ac:dyDescent="0.25">
      <c r="A4">
        <v>2020</v>
      </c>
      <c r="B4" s="15">
        <v>0.1</v>
      </c>
      <c r="C4" s="15">
        <v>0</v>
      </c>
    </row>
    <row r="5" spans="1:3" x14ac:dyDescent="0.25">
      <c r="A5">
        <v>2021</v>
      </c>
      <c r="B5" s="15">
        <v>0.06</v>
      </c>
      <c r="C5" s="15">
        <v>0</v>
      </c>
    </row>
    <row r="6" spans="1:3" x14ac:dyDescent="0.25">
      <c r="A6">
        <v>2022</v>
      </c>
      <c r="B6" s="15">
        <v>0.35</v>
      </c>
      <c r="C6" s="15">
        <v>0</v>
      </c>
    </row>
    <row r="7" spans="1:3" x14ac:dyDescent="0.25">
      <c r="A7">
        <v>2023</v>
      </c>
      <c r="B7" s="15">
        <v>0.17</v>
      </c>
      <c r="C7" s="15">
        <v>0</v>
      </c>
    </row>
    <row r="8" spans="1:3" x14ac:dyDescent="0.25">
      <c r="A8">
        <v>2024</v>
      </c>
      <c r="B8" s="15">
        <v>0.43</v>
      </c>
      <c r="C8" s="15">
        <v>0</v>
      </c>
    </row>
    <row r="9" spans="1:3" x14ac:dyDescent="0.25">
      <c r="A9">
        <v>2025</v>
      </c>
      <c r="B9" s="15">
        <v>0.69399999999999995</v>
      </c>
      <c r="C9" s="1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98EA-F049-4A45-95E1-AA425574422A}">
  <dimension ref="A1:B9"/>
  <sheetViews>
    <sheetView workbookViewId="0">
      <selection activeCell="C10" sqref="C10"/>
    </sheetView>
  </sheetViews>
  <sheetFormatPr defaultRowHeight="15" x14ac:dyDescent="0.25"/>
  <cols>
    <col min="2" max="2" width="19.5703125" customWidth="1"/>
  </cols>
  <sheetData>
    <row r="1" spans="1:2" x14ac:dyDescent="0.25">
      <c r="A1" t="s">
        <v>68</v>
      </c>
      <c r="B1" t="s">
        <v>138</v>
      </c>
    </row>
    <row r="2" spans="1:2" x14ac:dyDescent="0.25">
      <c r="A2">
        <v>2018</v>
      </c>
      <c r="B2" s="15">
        <v>0.26</v>
      </c>
    </row>
    <row r="3" spans="1:2" x14ac:dyDescent="0.25">
      <c r="A3">
        <v>2019</v>
      </c>
      <c r="B3" s="15">
        <v>0.02</v>
      </c>
    </row>
    <row r="4" spans="1:2" x14ac:dyDescent="0.25">
      <c r="A4">
        <v>2020</v>
      </c>
      <c r="B4" s="15">
        <v>0.06</v>
      </c>
    </row>
    <row r="5" spans="1:2" x14ac:dyDescent="0.25">
      <c r="A5">
        <v>2021</v>
      </c>
      <c r="B5" s="15">
        <v>0.17</v>
      </c>
    </row>
    <row r="6" spans="1:2" x14ac:dyDescent="0.25">
      <c r="A6">
        <v>2022</v>
      </c>
      <c r="B6" s="15">
        <v>0.28000000000000003</v>
      </c>
    </row>
    <row r="7" spans="1:2" x14ac:dyDescent="0.25">
      <c r="A7">
        <v>2023</v>
      </c>
      <c r="B7" s="15">
        <v>0.05</v>
      </c>
    </row>
    <row r="8" spans="1:2" x14ac:dyDescent="0.25">
      <c r="A8">
        <v>2024</v>
      </c>
      <c r="B8" s="15">
        <v>0</v>
      </c>
    </row>
    <row r="9" spans="1:2" x14ac:dyDescent="0.25">
      <c r="A9">
        <v>2025</v>
      </c>
      <c r="B9" s="15">
        <v>0.19700000000000001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33F8-F6FD-46D3-B669-CD9D8BFF9D18}">
  <dimension ref="A1:C7"/>
  <sheetViews>
    <sheetView workbookViewId="0">
      <selection sqref="A1:C7"/>
    </sheetView>
  </sheetViews>
  <sheetFormatPr defaultRowHeight="15" x14ac:dyDescent="0.25"/>
  <cols>
    <col min="2" max="2" width="19.5703125" customWidth="1"/>
  </cols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2019</v>
      </c>
      <c r="B2" s="23">
        <v>0.25</v>
      </c>
      <c r="C2" s="15">
        <v>0.28599999999999998</v>
      </c>
    </row>
    <row r="3" spans="1:3" x14ac:dyDescent="0.25">
      <c r="A3">
        <v>2020</v>
      </c>
      <c r="B3" s="23">
        <v>0.26700000000000002</v>
      </c>
      <c r="C3" s="15">
        <v>0.28599999999999998</v>
      </c>
    </row>
    <row r="4" spans="1:3" x14ac:dyDescent="0.25">
      <c r="A4">
        <v>2021</v>
      </c>
      <c r="B4" s="23">
        <v>0.26300000000000001</v>
      </c>
      <c r="C4" s="15">
        <v>0.28599999999999998</v>
      </c>
    </row>
    <row r="5" spans="1:3" x14ac:dyDescent="0.25">
      <c r="A5">
        <v>2022</v>
      </c>
      <c r="B5" s="23">
        <v>0.3</v>
      </c>
      <c r="C5" s="15">
        <v>0.28599999999999998</v>
      </c>
    </row>
    <row r="6" spans="1:3" x14ac:dyDescent="0.25">
      <c r="A6">
        <v>2023</v>
      </c>
      <c r="B6" s="23">
        <v>0.32</v>
      </c>
      <c r="C6" s="15">
        <v>0.28599999999999998</v>
      </c>
    </row>
    <row r="7" spans="1:3" x14ac:dyDescent="0.25">
      <c r="A7">
        <v>2024</v>
      </c>
      <c r="B7" s="23">
        <v>0.25</v>
      </c>
      <c r="C7" s="15">
        <v>0.28599999999999998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453B-2FD9-4676-A93F-5D42E7C311A7}">
  <dimension ref="A1:C8"/>
  <sheetViews>
    <sheetView workbookViewId="0">
      <selection activeCell="C15" sqref="C15"/>
    </sheetView>
  </sheetViews>
  <sheetFormatPr defaultRowHeight="15" x14ac:dyDescent="0.25"/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2018</v>
      </c>
      <c r="B2" s="15">
        <v>0.08</v>
      </c>
      <c r="C2" s="15">
        <v>0.03</v>
      </c>
    </row>
    <row r="3" spans="1:3" x14ac:dyDescent="0.25">
      <c r="A3">
        <v>2019</v>
      </c>
      <c r="B3" s="23">
        <v>3.3000000000000002E-2</v>
      </c>
      <c r="C3" s="15">
        <v>0.03</v>
      </c>
    </row>
    <row r="4" spans="1:3" x14ac:dyDescent="0.25">
      <c r="A4">
        <v>2020</v>
      </c>
      <c r="B4" s="23">
        <v>0</v>
      </c>
      <c r="C4" s="15">
        <v>0.03</v>
      </c>
    </row>
    <row r="5" spans="1:3" x14ac:dyDescent="0.25">
      <c r="A5">
        <v>2021</v>
      </c>
      <c r="B5" s="23">
        <v>2.1000000000000001E-2</v>
      </c>
      <c r="C5" s="15">
        <v>0.03</v>
      </c>
    </row>
    <row r="6" spans="1:3" x14ac:dyDescent="0.25">
      <c r="A6">
        <v>2022</v>
      </c>
      <c r="B6" s="23">
        <v>1.5E-3</v>
      </c>
      <c r="C6" s="15">
        <v>0.03</v>
      </c>
    </row>
    <row r="7" spans="1:3" x14ac:dyDescent="0.25">
      <c r="A7">
        <v>2023</v>
      </c>
      <c r="B7" s="23">
        <v>1.6000000000000001E-3</v>
      </c>
      <c r="C7" s="15">
        <v>0.03</v>
      </c>
    </row>
    <row r="8" spans="1:3" x14ac:dyDescent="0.25">
      <c r="A8">
        <v>2024</v>
      </c>
      <c r="B8" s="23">
        <v>1.6000000000000001E-3</v>
      </c>
      <c r="C8" s="15">
        <v>0.03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1B4-CACE-4DDE-9F5D-2A702D15F4A9}">
  <dimension ref="A1:C7"/>
  <sheetViews>
    <sheetView workbookViewId="0">
      <selection activeCell="D19" sqref="D19"/>
    </sheetView>
  </sheetViews>
  <sheetFormatPr defaultRowHeight="15" x14ac:dyDescent="0.25"/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2019</v>
      </c>
      <c r="B2" s="23">
        <v>0.222</v>
      </c>
      <c r="C2" s="15">
        <v>0.41</v>
      </c>
    </row>
    <row r="3" spans="1:3" x14ac:dyDescent="0.25">
      <c r="A3">
        <v>2020</v>
      </c>
      <c r="B3" s="23">
        <v>0.44400000000000001</v>
      </c>
      <c r="C3" s="15">
        <v>0.41</v>
      </c>
    </row>
    <row r="4" spans="1:3" x14ac:dyDescent="0.25">
      <c r="A4">
        <v>2021</v>
      </c>
      <c r="B4" s="23">
        <v>0.5</v>
      </c>
      <c r="C4" s="15">
        <v>0.41</v>
      </c>
    </row>
    <row r="5" spans="1:3" x14ac:dyDescent="0.25">
      <c r="A5">
        <v>2022</v>
      </c>
      <c r="B5" s="23">
        <v>0.625</v>
      </c>
      <c r="C5" s="15">
        <v>0.41</v>
      </c>
    </row>
    <row r="6" spans="1:3" x14ac:dyDescent="0.25">
      <c r="A6">
        <v>2023</v>
      </c>
      <c r="B6" s="23">
        <v>0.41</v>
      </c>
      <c r="C6" s="15">
        <v>0.41</v>
      </c>
    </row>
    <row r="7" spans="1:3" x14ac:dyDescent="0.25">
      <c r="A7">
        <v>2024</v>
      </c>
      <c r="B7" s="23">
        <v>0.25</v>
      </c>
      <c r="C7" s="15">
        <v>0.41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58D5-45CD-485F-9E37-C77E69A730F0}">
  <dimension ref="A1:C17"/>
  <sheetViews>
    <sheetView workbookViewId="0">
      <selection activeCell="H21" sqref="H21"/>
    </sheetView>
  </sheetViews>
  <sheetFormatPr defaultRowHeight="15" x14ac:dyDescent="0.25"/>
  <cols>
    <col min="1" max="1" width="27.28515625" bestFit="1" customWidth="1"/>
    <col min="2" max="2" width="10.42578125" bestFit="1" customWidth="1"/>
    <col min="3" max="3" width="10.28515625" bestFit="1" customWidth="1"/>
  </cols>
  <sheetData>
    <row r="1" spans="1:3" x14ac:dyDescent="0.25">
      <c r="A1" t="s">
        <v>90</v>
      </c>
      <c r="B1" t="s">
        <v>139</v>
      </c>
      <c r="C1" t="s">
        <v>140</v>
      </c>
    </row>
    <row r="2" spans="1:3" x14ac:dyDescent="0.25">
      <c r="A2" t="s">
        <v>131</v>
      </c>
    </row>
    <row r="3" spans="1:3" x14ac:dyDescent="0.25">
      <c r="A3" t="s">
        <v>71</v>
      </c>
      <c r="B3">
        <v>0</v>
      </c>
      <c r="C3">
        <v>0</v>
      </c>
    </row>
    <row r="4" spans="1:3" x14ac:dyDescent="0.25">
      <c r="A4" t="s">
        <v>132</v>
      </c>
      <c r="B4">
        <v>0.01</v>
      </c>
      <c r="C4">
        <v>0</v>
      </c>
    </row>
    <row r="5" spans="1:3" x14ac:dyDescent="0.25">
      <c r="A5" t="s">
        <v>72</v>
      </c>
      <c r="B5">
        <v>44</v>
      </c>
      <c r="C5">
        <v>21</v>
      </c>
    </row>
    <row r="6" spans="1:3" x14ac:dyDescent="0.25">
      <c r="A6" t="s">
        <v>133</v>
      </c>
      <c r="B6">
        <v>0.1</v>
      </c>
      <c r="C6">
        <v>0.1</v>
      </c>
    </row>
    <row r="7" spans="1:3" x14ac:dyDescent="0.25">
      <c r="A7" t="s">
        <v>134</v>
      </c>
      <c r="B7">
        <v>49</v>
      </c>
      <c r="C7">
        <v>38</v>
      </c>
    </row>
    <row r="8" spans="1:3" x14ac:dyDescent="0.25">
      <c r="A8" t="s">
        <v>135</v>
      </c>
      <c r="B8">
        <v>0.6</v>
      </c>
      <c r="C8">
        <v>0.5</v>
      </c>
    </row>
    <row r="9" spans="1:3" x14ac:dyDescent="0.25">
      <c r="A9" t="s">
        <v>136</v>
      </c>
      <c r="B9" s="22">
        <v>7929</v>
      </c>
      <c r="C9" s="22">
        <v>14000</v>
      </c>
    </row>
    <row r="10" spans="1:3" x14ac:dyDescent="0.25">
      <c r="A10" t="s">
        <v>137</v>
      </c>
      <c r="B10" s="22"/>
      <c r="C10" s="22"/>
    </row>
    <row r="11" spans="1:3" x14ac:dyDescent="0.25">
      <c r="A11" t="s">
        <v>71</v>
      </c>
      <c r="B11">
        <v>0</v>
      </c>
      <c r="C11">
        <v>0</v>
      </c>
    </row>
    <row r="12" spans="1:3" x14ac:dyDescent="0.25">
      <c r="A12" t="s">
        <v>132</v>
      </c>
      <c r="B12">
        <v>0</v>
      </c>
      <c r="C12">
        <v>0</v>
      </c>
    </row>
    <row r="13" spans="1:3" x14ac:dyDescent="0.25">
      <c r="A13" t="s">
        <v>72</v>
      </c>
      <c r="B13">
        <v>17</v>
      </c>
      <c r="C13">
        <v>19</v>
      </c>
    </row>
    <row r="14" spans="1:3" x14ac:dyDescent="0.25">
      <c r="A14" t="s">
        <v>133</v>
      </c>
      <c r="B14">
        <v>0.2</v>
      </c>
      <c r="C14">
        <v>0.2</v>
      </c>
    </row>
    <row r="15" spans="1:3" x14ac:dyDescent="0.25">
      <c r="A15" t="s">
        <v>134</v>
      </c>
      <c r="B15">
        <v>17</v>
      </c>
      <c r="C15">
        <v>20</v>
      </c>
    </row>
    <row r="16" spans="1:3" x14ac:dyDescent="0.25">
      <c r="A16" t="s">
        <v>135</v>
      </c>
      <c r="B16">
        <v>0.2</v>
      </c>
      <c r="C16">
        <v>0.2</v>
      </c>
    </row>
    <row r="17" spans="1:3" x14ac:dyDescent="0.25">
      <c r="A17" t="s">
        <v>136</v>
      </c>
      <c r="B17" s="22">
        <v>15101</v>
      </c>
      <c r="C17" s="22">
        <v>7700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B925-F3EE-472B-B53C-CA468800D579}">
  <dimension ref="A1:C8"/>
  <sheetViews>
    <sheetView workbookViewId="0">
      <selection activeCell="D19" sqref="D19"/>
    </sheetView>
  </sheetViews>
  <sheetFormatPr defaultRowHeight="15" x14ac:dyDescent="0.25"/>
  <sheetData>
    <row r="1" spans="1:3" x14ac:dyDescent="0.25">
      <c r="A1" t="s">
        <v>68</v>
      </c>
      <c r="B1" t="s">
        <v>138</v>
      </c>
      <c r="C1" t="s">
        <v>78</v>
      </c>
    </row>
    <row r="2" spans="1:3" x14ac:dyDescent="0.25">
      <c r="A2">
        <v>2018</v>
      </c>
      <c r="B2" s="15">
        <v>0.3</v>
      </c>
      <c r="C2" s="15">
        <v>0.05</v>
      </c>
    </row>
    <row r="3" spans="1:3" x14ac:dyDescent="0.25">
      <c r="A3">
        <v>2019</v>
      </c>
      <c r="B3" s="23">
        <v>0.05</v>
      </c>
      <c r="C3" s="15">
        <v>0.05</v>
      </c>
    </row>
    <row r="4" spans="1:3" x14ac:dyDescent="0.25">
      <c r="A4">
        <v>2020</v>
      </c>
      <c r="B4" s="23">
        <v>0.05</v>
      </c>
      <c r="C4" s="15">
        <v>0.05</v>
      </c>
    </row>
    <row r="5" spans="1:3" x14ac:dyDescent="0.25">
      <c r="A5">
        <v>2021</v>
      </c>
      <c r="B5" s="23">
        <v>0.05</v>
      </c>
      <c r="C5" s="15">
        <v>0.05</v>
      </c>
    </row>
    <row r="6" spans="1:3" x14ac:dyDescent="0.25">
      <c r="A6">
        <v>2022</v>
      </c>
      <c r="B6" s="23">
        <v>0.33</v>
      </c>
      <c r="C6" s="15">
        <v>0.05</v>
      </c>
    </row>
    <row r="7" spans="1:3" x14ac:dyDescent="0.25">
      <c r="A7">
        <v>2023</v>
      </c>
      <c r="B7" s="23">
        <v>0</v>
      </c>
      <c r="C7" s="15">
        <v>0.05</v>
      </c>
    </row>
    <row r="8" spans="1:3" x14ac:dyDescent="0.25">
      <c r="A8">
        <v>2024</v>
      </c>
      <c r="B8" s="23">
        <v>0</v>
      </c>
      <c r="C8" s="15">
        <v>0.05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0F60-609B-4AA9-97E6-C695A4A591CA}">
  <dimension ref="A1:D6"/>
  <sheetViews>
    <sheetView workbookViewId="0">
      <selection activeCell="A2" sqref="A2:D6"/>
    </sheetView>
  </sheetViews>
  <sheetFormatPr defaultRowHeight="15" x14ac:dyDescent="0.25"/>
  <cols>
    <col min="1" max="1" width="43" customWidth="1"/>
    <col min="3" max="3" width="15.85546875" customWidth="1"/>
  </cols>
  <sheetData>
    <row r="1" spans="1:4" x14ac:dyDescent="0.25">
      <c r="A1" t="s">
        <v>90</v>
      </c>
      <c r="B1" t="s">
        <v>89</v>
      </c>
      <c r="C1" t="s">
        <v>88</v>
      </c>
      <c r="D1" t="s">
        <v>78</v>
      </c>
    </row>
    <row r="2" spans="1:4" x14ac:dyDescent="0.25">
      <c r="A2" t="s">
        <v>71</v>
      </c>
      <c r="B2" t="s">
        <v>83</v>
      </c>
      <c r="C2">
        <v>207.4</v>
      </c>
      <c r="D2">
        <v>0</v>
      </c>
    </row>
    <row r="3" spans="1:4" x14ac:dyDescent="0.25">
      <c r="A3" t="s">
        <v>87</v>
      </c>
      <c r="B3" t="s">
        <v>83</v>
      </c>
      <c r="C3">
        <v>1.45</v>
      </c>
      <c r="D3">
        <v>0</v>
      </c>
    </row>
    <row r="4" spans="1:4" x14ac:dyDescent="0.25">
      <c r="A4" t="s">
        <v>86</v>
      </c>
      <c r="B4" t="s">
        <v>83</v>
      </c>
      <c r="C4">
        <v>812.2</v>
      </c>
      <c r="D4">
        <v>0</v>
      </c>
    </row>
    <row r="5" spans="1:4" x14ac:dyDescent="0.25">
      <c r="A5" t="s">
        <v>85</v>
      </c>
      <c r="B5" t="s">
        <v>83</v>
      </c>
      <c r="C5">
        <v>5.73</v>
      </c>
      <c r="D5">
        <v>0</v>
      </c>
    </row>
    <row r="6" spans="1:4" x14ac:dyDescent="0.25">
      <c r="A6" t="s">
        <v>84</v>
      </c>
      <c r="B6" t="s">
        <v>83</v>
      </c>
      <c r="C6">
        <v>203.8</v>
      </c>
      <c r="D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7EA7-DBFB-4CBA-A1A1-E112D361DAFF}">
  <dimension ref="A1:D9"/>
  <sheetViews>
    <sheetView workbookViewId="0">
      <selection activeCell="A2" sqref="A2:D9"/>
    </sheetView>
  </sheetViews>
  <sheetFormatPr defaultRowHeight="15" x14ac:dyDescent="0.25"/>
  <cols>
    <col min="1" max="1" width="43" customWidth="1"/>
    <col min="3" max="3" width="15.85546875" customWidth="1"/>
  </cols>
  <sheetData>
    <row r="1" spans="1:4" x14ac:dyDescent="0.25">
      <c r="A1" t="s">
        <v>90</v>
      </c>
      <c r="B1" t="s">
        <v>89</v>
      </c>
      <c r="C1" t="s">
        <v>92</v>
      </c>
      <c r="D1" t="s">
        <v>93</v>
      </c>
    </row>
    <row r="2" spans="1:4" x14ac:dyDescent="0.25">
      <c r="A2" s="24" t="s">
        <v>91</v>
      </c>
    </row>
    <row r="3" spans="1:4" x14ac:dyDescent="0.25">
      <c r="A3" t="s">
        <v>94</v>
      </c>
      <c r="B3" t="s">
        <v>95</v>
      </c>
      <c r="C3" s="20">
        <v>0.83199999999999996</v>
      </c>
      <c r="D3" t="s">
        <v>96</v>
      </c>
    </row>
    <row r="4" spans="1:4" x14ac:dyDescent="0.25">
      <c r="A4" t="s">
        <v>97</v>
      </c>
      <c r="B4" t="s">
        <v>95</v>
      </c>
      <c r="C4" s="20">
        <v>0</v>
      </c>
      <c r="D4" t="s">
        <v>98</v>
      </c>
    </row>
    <row r="5" spans="1:4" x14ac:dyDescent="0.25">
      <c r="A5" s="24" t="s">
        <v>99</v>
      </c>
      <c r="C5" s="20"/>
    </row>
    <row r="6" spans="1:4" x14ac:dyDescent="0.25">
      <c r="A6" t="s">
        <v>100</v>
      </c>
      <c r="B6" t="s">
        <v>83</v>
      </c>
      <c r="C6" s="20">
        <v>0.54700000000000004</v>
      </c>
      <c r="D6" t="s">
        <v>101</v>
      </c>
    </row>
    <row r="7" spans="1:4" x14ac:dyDescent="0.25">
      <c r="A7" t="s">
        <v>102</v>
      </c>
      <c r="B7" t="s">
        <v>95</v>
      </c>
      <c r="C7" s="20">
        <v>0</v>
      </c>
      <c r="D7" t="s">
        <v>98</v>
      </c>
    </row>
    <row r="8" spans="1:4" x14ac:dyDescent="0.25">
      <c r="A8" t="s">
        <v>103</v>
      </c>
      <c r="B8" t="s">
        <v>95</v>
      </c>
      <c r="C8" s="20">
        <v>0.56299999999999994</v>
      </c>
      <c r="D8" t="s">
        <v>104</v>
      </c>
    </row>
    <row r="9" spans="1:4" x14ac:dyDescent="0.25">
      <c r="A9" t="s">
        <v>105</v>
      </c>
      <c r="B9" t="s">
        <v>95</v>
      </c>
      <c r="C9" s="20">
        <v>5.0000000000000001E-3</v>
      </c>
      <c r="D9" t="s">
        <v>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0919-3905-4425-81BF-3149EAA458D8}">
  <dimension ref="A1:D4"/>
  <sheetViews>
    <sheetView workbookViewId="0">
      <selection activeCell="A2" sqref="A2:D4"/>
    </sheetView>
  </sheetViews>
  <sheetFormatPr defaultRowHeight="15" x14ac:dyDescent="0.25"/>
  <cols>
    <col min="1" max="1" width="56.140625" bestFit="1" customWidth="1"/>
    <col min="3" max="3" width="12.42578125" bestFit="1" customWidth="1"/>
    <col min="4" max="4" width="12.28515625" bestFit="1" customWidth="1"/>
  </cols>
  <sheetData>
    <row r="1" spans="1:4" x14ac:dyDescent="0.25">
      <c r="A1" t="s">
        <v>90</v>
      </c>
      <c r="B1" t="s">
        <v>89</v>
      </c>
      <c r="C1" t="s">
        <v>92</v>
      </c>
      <c r="D1" t="s">
        <v>93</v>
      </c>
    </row>
    <row r="2" spans="1:4" x14ac:dyDescent="0.25">
      <c r="A2" t="s">
        <v>106</v>
      </c>
      <c r="B2" t="s">
        <v>83</v>
      </c>
      <c r="C2" s="21">
        <v>0.623</v>
      </c>
      <c r="D2" t="s">
        <v>107</v>
      </c>
    </row>
    <row r="3" spans="1:4" x14ac:dyDescent="0.25">
      <c r="A3" t="s">
        <v>108</v>
      </c>
      <c r="B3" t="s">
        <v>95</v>
      </c>
      <c r="C3" s="21">
        <v>0.86799999999999999</v>
      </c>
      <c r="D3" t="s">
        <v>101</v>
      </c>
    </row>
    <row r="4" spans="1:4" x14ac:dyDescent="0.25">
      <c r="A4" t="s">
        <v>109</v>
      </c>
      <c r="B4" t="s">
        <v>83</v>
      </c>
      <c r="C4">
        <v>2.09</v>
      </c>
      <c r="D4" t="s">
        <v>110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ABED-C249-4004-B31E-6E99DC2E6917}">
  <dimension ref="A1:D13"/>
  <sheetViews>
    <sheetView workbookViewId="0">
      <selection activeCell="A2" sqref="A2:D13"/>
    </sheetView>
  </sheetViews>
  <sheetFormatPr defaultRowHeight="15" x14ac:dyDescent="0.25"/>
  <cols>
    <col min="1" max="1" width="64.5703125" bestFit="1" customWidth="1"/>
    <col min="2" max="2" width="8.7109375" bestFit="1" customWidth="1"/>
    <col min="3" max="3" width="12.42578125" bestFit="1" customWidth="1"/>
    <col min="4" max="4" width="12.28515625" bestFit="1" customWidth="1"/>
  </cols>
  <sheetData>
    <row r="1" spans="1:4" x14ac:dyDescent="0.25">
      <c r="A1" t="s">
        <v>90</v>
      </c>
      <c r="B1" t="s">
        <v>111</v>
      </c>
      <c r="C1" t="s">
        <v>112</v>
      </c>
      <c r="D1" t="s">
        <v>113</v>
      </c>
    </row>
    <row r="2" spans="1:4" x14ac:dyDescent="0.25">
      <c r="A2" t="s">
        <v>114</v>
      </c>
    </row>
    <row r="3" spans="1:4" x14ac:dyDescent="0.25">
      <c r="A3" t="s">
        <v>115</v>
      </c>
      <c r="B3" t="s">
        <v>95</v>
      </c>
      <c r="C3" s="15">
        <v>0</v>
      </c>
      <c r="D3" t="s">
        <v>116</v>
      </c>
    </row>
    <row r="4" spans="1:4" x14ac:dyDescent="0.25">
      <c r="A4" t="s">
        <v>117</v>
      </c>
      <c r="B4" t="s">
        <v>95</v>
      </c>
      <c r="C4" s="15">
        <v>0</v>
      </c>
      <c r="D4" t="s">
        <v>116</v>
      </c>
    </row>
    <row r="5" spans="1:4" x14ac:dyDescent="0.25">
      <c r="A5" t="s">
        <v>118</v>
      </c>
      <c r="B5" t="s">
        <v>95</v>
      </c>
      <c r="C5" s="15">
        <v>0</v>
      </c>
      <c r="D5" t="s">
        <v>116</v>
      </c>
    </row>
    <row r="6" spans="1:4" x14ac:dyDescent="0.25">
      <c r="A6" t="s">
        <v>119</v>
      </c>
      <c r="B6" t="s">
        <v>83</v>
      </c>
      <c r="C6" s="21">
        <v>0.434</v>
      </c>
      <c r="D6" t="s">
        <v>116</v>
      </c>
    </row>
    <row r="7" spans="1:4" x14ac:dyDescent="0.25">
      <c r="A7" t="s">
        <v>120</v>
      </c>
      <c r="B7" t="s">
        <v>95</v>
      </c>
      <c r="C7" s="21">
        <v>5.0000000000000001E-4</v>
      </c>
      <c r="D7" t="s">
        <v>116</v>
      </c>
    </row>
    <row r="8" spans="1:4" x14ac:dyDescent="0.25">
      <c r="A8" t="s">
        <v>121</v>
      </c>
      <c r="B8" t="s">
        <v>95</v>
      </c>
      <c r="C8" s="15">
        <v>0</v>
      </c>
      <c r="D8" s="15">
        <v>0</v>
      </c>
    </row>
    <row r="9" spans="1:4" x14ac:dyDescent="0.25">
      <c r="A9" t="s">
        <v>122</v>
      </c>
      <c r="C9" s="15"/>
      <c r="D9" s="15"/>
    </row>
    <row r="10" spans="1:4" x14ac:dyDescent="0.25">
      <c r="A10" t="s">
        <v>123</v>
      </c>
      <c r="B10" t="s">
        <v>83</v>
      </c>
      <c r="C10" s="15">
        <v>0.32</v>
      </c>
      <c r="D10" t="s">
        <v>124</v>
      </c>
    </row>
    <row r="11" spans="1:4" x14ac:dyDescent="0.25">
      <c r="A11" t="s">
        <v>125</v>
      </c>
      <c r="B11" t="s">
        <v>95</v>
      </c>
      <c r="C11" s="15">
        <v>0.41</v>
      </c>
      <c r="D11" t="s">
        <v>126</v>
      </c>
    </row>
    <row r="12" spans="1:4" x14ac:dyDescent="0.25">
      <c r="A12" t="s">
        <v>127</v>
      </c>
      <c r="B12" t="s">
        <v>95</v>
      </c>
      <c r="C12" s="15">
        <v>0</v>
      </c>
      <c r="D12" t="s">
        <v>128</v>
      </c>
    </row>
    <row r="13" spans="1:4" x14ac:dyDescent="0.25">
      <c r="A13" t="s">
        <v>129</v>
      </c>
      <c r="B13" t="s">
        <v>95</v>
      </c>
      <c r="C13" s="21">
        <v>1.6000000000000001E-3</v>
      </c>
      <c r="D13" t="s">
        <v>130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51EB-9F2E-4379-8AFD-5E4458A288D3}">
  <dimension ref="A1:D17"/>
  <sheetViews>
    <sheetView workbookViewId="0">
      <selection activeCell="L22" sqref="L22"/>
    </sheetView>
  </sheetViews>
  <sheetFormatPr defaultRowHeight="15" x14ac:dyDescent="0.25"/>
  <cols>
    <col min="1" max="1" width="30.140625" bestFit="1" customWidth="1"/>
    <col min="2" max="2" width="8.7109375" bestFit="1" customWidth="1"/>
    <col min="3" max="3" width="12.42578125" bestFit="1" customWidth="1"/>
    <col min="4" max="4" width="12.28515625" bestFit="1" customWidth="1"/>
  </cols>
  <sheetData>
    <row r="1" spans="1:4" x14ac:dyDescent="0.25">
      <c r="A1" t="s">
        <v>90</v>
      </c>
      <c r="B1" t="s">
        <v>111</v>
      </c>
      <c r="C1" t="s">
        <v>162</v>
      </c>
      <c r="D1" t="s">
        <v>163</v>
      </c>
    </row>
    <row r="2" spans="1:4" x14ac:dyDescent="0.25">
      <c r="A2" t="s">
        <v>131</v>
      </c>
    </row>
    <row r="3" spans="1:4" x14ac:dyDescent="0.25">
      <c r="A3" t="s">
        <v>71</v>
      </c>
      <c r="B3" t="s">
        <v>83</v>
      </c>
      <c r="C3">
        <v>1</v>
      </c>
      <c r="D3">
        <v>0</v>
      </c>
    </row>
    <row r="4" spans="1:4" x14ac:dyDescent="0.25">
      <c r="A4" t="s">
        <v>132</v>
      </c>
      <c r="B4" t="s">
        <v>83</v>
      </c>
      <c r="C4">
        <v>0.01</v>
      </c>
      <c r="D4">
        <v>0</v>
      </c>
    </row>
    <row r="5" spans="1:4" x14ac:dyDescent="0.25">
      <c r="A5" t="s">
        <v>72</v>
      </c>
      <c r="B5" t="s">
        <v>83</v>
      </c>
      <c r="C5">
        <v>44</v>
      </c>
      <c r="D5" t="s">
        <v>153</v>
      </c>
    </row>
    <row r="6" spans="1:4" x14ac:dyDescent="0.25">
      <c r="A6" t="s">
        <v>133</v>
      </c>
      <c r="B6" t="s">
        <v>95</v>
      </c>
      <c r="C6">
        <v>0.1</v>
      </c>
      <c r="D6" t="s">
        <v>161</v>
      </c>
    </row>
    <row r="7" spans="1:4" x14ac:dyDescent="0.25">
      <c r="A7" t="s">
        <v>134</v>
      </c>
      <c r="B7" t="s">
        <v>83</v>
      </c>
      <c r="C7">
        <v>49</v>
      </c>
      <c r="D7" t="s">
        <v>154</v>
      </c>
    </row>
    <row r="8" spans="1:4" x14ac:dyDescent="0.25">
      <c r="A8" t="s">
        <v>135</v>
      </c>
      <c r="B8" t="s">
        <v>83</v>
      </c>
      <c r="C8">
        <v>0.6</v>
      </c>
      <c r="D8" t="s">
        <v>155</v>
      </c>
    </row>
    <row r="9" spans="1:4" x14ac:dyDescent="0.25">
      <c r="A9" t="s">
        <v>136</v>
      </c>
      <c r="B9" t="s">
        <v>95</v>
      </c>
      <c r="C9" s="22">
        <v>7929</v>
      </c>
      <c r="D9" s="22" t="s">
        <v>156</v>
      </c>
    </row>
    <row r="10" spans="1:4" x14ac:dyDescent="0.25">
      <c r="A10" t="s">
        <v>137</v>
      </c>
      <c r="C10" s="22"/>
      <c r="D10" s="22"/>
    </row>
    <row r="11" spans="1:4" x14ac:dyDescent="0.25">
      <c r="A11" t="s">
        <v>71</v>
      </c>
      <c r="B11" t="s">
        <v>95</v>
      </c>
      <c r="C11">
        <v>0</v>
      </c>
      <c r="D11">
        <v>0</v>
      </c>
    </row>
    <row r="12" spans="1:4" x14ac:dyDescent="0.25">
      <c r="A12" t="s">
        <v>132</v>
      </c>
      <c r="B12" t="s">
        <v>95</v>
      </c>
      <c r="C12">
        <v>0</v>
      </c>
      <c r="D12">
        <v>0</v>
      </c>
    </row>
    <row r="13" spans="1:4" x14ac:dyDescent="0.25">
      <c r="A13" t="s">
        <v>72</v>
      </c>
      <c r="B13" t="s">
        <v>95</v>
      </c>
      <c r="C13">
        <v>17</v>
      </c>
      <c r="D13" t="s">
        <v>157</v>
      </c>
    </row>
    <row r="14" spans="1:4" x14ac:dyDescent="0.25">
      <c r="A14" t="s">
        <v>133</v>
      </c>
      <c r="B14" t="s">
        <v>95</v>
      </c>
      <c r="C14">
        <v>0.2</v>
      </c>
      <c r="D14" t="s">
        <v>158</v>
      </c>
    </row>
    <row r="15" spans="1:4" x14ac:dyDescent="0.25">
      <c r="A15" t="s">
        <v>134</v>
      </c>
      <c r="B15" t="s">
        <v>95</v>
      </c>
      <c r="C15">
        <v>17</v>
      </c>
      <c r="D15" t="s">
        <v>159</v>
      </c>
    </row>
    <row r="16" spans="1:4" x14ac:dyDescent="0.25">
      <c r="A16" t="s">
        <v>135</v>
      </c>
      <c r="B16" t="s">
        <v>95</v>
      </c>
      <c r="C16">
        <v>0.2</v>
      </c>
      <c r="D16" t="s">
        <v>158</v>
      </c>
    </row>
    <row r="17" spans="1:4" x14ac:dyDescent="0.25">
      <c r="A17" t="s">
        <v>136</v>
      </c>
      <c r="B17" t="s">
        <v>83</v>
      </c>
      <c r="C17" s="22">
        <v>15101</v>
      </c>
      <c r="D17" s="22" t="s">
        <v>160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54F7-7F84-4744-9CA4-C221A28D6B22}">
  <dimension ref="A1:D49"/>
  <sheetViews>
    <sheetView workbookViewId="0">
      <selection activeCell="D55" sqref="D55"/>
    </sheetView>
  </sheetViews>
  <sheetFormatPr defaultRowHeight="15" x14ac:dyDescent="0.25"/>
  <cols>
    <col min="1" max="1" width="54.85546875" customWidth="1"/>
    <col min="2" max="2" width="14" customWidth="1"/>
    <col min="3" max="3" width="12.42578125" bestFit="1" customWidth="1"/>
    <col min="4" max="4" width="12.28515625" bestFit="1" customWidth="1"/>
  </cols>
  <sheetData>
    <row r="1" spans="1:4" x14ac:dyDescent="0.25">
      <c r="A1" t="s">
        <v>90</v>
      </c>
      <c r="B1" t="s">
        <v>89</v>
      </c>
      <c r="C1" t="s">
        <v>92</v>
      </c>
      <c r="D1" t="s">
        <v>78</v>
      </c>
    </row>
    <row r="2" spans="1:4" x14ac:dyDescent="0.25">
      <c r="A2" s="24" t="s">
        <v>150</v>
      </c>
    </row>
    <row r="3" spans="1:4" x14ac:dyDescent="0.25">
      <c r="A3" t="s">
        <v>71</v>
      </c>
      <c r="B3" t="s">
        <v>83</v>
      </c>
      <c r="C3">
        <v>207.4</v>
      </c>
      <c r="D3">
        <v>0</v>
      </c>
    </row>
    <row r="4" spans="1:4" x14ac:dyDescent="0.25">
      <c r="A4" t="s">
        <v>87</v>
      </c>
      <c r="B4" t="s">
        <v>83</v>
      </c>
      <c r="C4">
        <v>1.45</v>
      </c>
      <c r="D4">
        <v>0</v>
      </c>
    </row>
    <row r="5" spans="1:4" x14ac:dyDescent="0.25">
      <c r="A5" t="s">
        <v>86</v>
      </c>
      <c r="B5" t="s">
        <v>83</v>
      </c>
      <c r="C5">
        <v>812.2</v>
      </c>
      <c r="D5">
        <v>0</v>
      </c>
    </row>
    <row r="6" spans="1:4" x14ac:dyDescent="0.25">
      <c r="A6" t="s">
        <v>85</v>
      </c>
      <c r="B6" t="s">
        <v>83</v>
      </c>
      <c r="C6">
        <v>5.73</v>
      </c>
      <c r="D6">
        <v>0</v>
      </c>
    </row>
    <row r="7" spans="1:4" x14ac:dyDescent="0.25">
      <c r="A7" t="s">
        <v>84</v>
      </c>
      <c r="B7" t="s">
        <v>83</v>
      </c>
      <c r="C7">
        <v>203.8</v>
      </c>
      <c r="D7">
        <v>0</v>
      </c>
    </row>
    <row r="8" spans="1:4" x14ac:dyDescent="0.25">
      <c r="A8" s="24" t="s">
        <v>151</v>
      </c>
    </row>
    <row r="9" spans="1:4" x14ac:dyDescent="0.25">
      <c r="A9" s="24" t="s">
        <v>91</v>
      </c>
    </row>
    <row r="10" spans="1:4" x14ac:dyDescent="0.25">
      <c r="A10" t="s">
        <v>94</v>
      </c>
      <c r="B10" t="s">
        <v>95</v>
      </c>
      <c r="C10" s="20">
        <v>0.83199999999999996</v>
      </c>
      <c r="D10" t="s">
        <v>96</v>
      </c>
    </row>
    <row r="11" spans="1:4" x14ac:dyDescent="0.25">
      <c r="A11" t="s">
        <v>97</v>
      </c>
      <c r="B11" t="s">
        <v>95</v>
      </c>
      <c r="C11" s="20">
        <v>0</v>
      </c>
      <c r="D11" t="s">
        <v>98</v>
      </c>
    </row>
    <row r="12" spans="1:4" x14ac:dyDescent="0.25">
      <c r="A12" s="24" t="s">
        <v>99</v>
      </c>
      <c r="C12" s="20"/>
    </row>
    <row r="13" spans="1:4" x14ac:dyDescent="0.25">
      <c r="A13" t="s">
        <v>100</v>
      </c>
      <c r="B13" t="s">
        <v>83</v>
      </c>
      <c r="C13" s="20">
        <v>0.54700000000000004</v>
      </c>
      <c r="D13" t="s">
        <v>101</v>
      </c>
    </row>
    <row r="14" spans="1:4" x14ac:dyDescent="0.25">
      <c r="A14" t="s">
        <v>102</v>
      </c>
      <c r="B14" t="s">
        <v>95</v>
      </c>
      <c r="C14" s="20">
        <v>0</v>
      </c>
      <c r="D14" t="s">
        <v>98</v>
      </c>
    </row>
    <row r="15" spans="1:4" x14ac:dyDescent="0.25">
      <c r="A15" t="s">
        <v>103</v>
      </c>
      <c r="B15" t="s">
        <v>95</v>
      </c>
      <c r="C15" s="20">
        <v>0.56299999999999994</v>
      </c>
      <c r="D15" t="s">
        <v>104</v>
      </c>
    </row>
    <row r="16" spans="1:4" x14ac:dyDescent="0.25">
      <c r="A16" t="s">
        <v>105</v>
      </c>
      <c r="B16" t="s">
        <v>95</v>
      </c>
      <c r="C16" s="20">
        <v>5.0000000000000001E-3</v>
      </c>
      <c r="D16" t="s">
        <v>98</v>
      </c>
    </row>
    <row r="17" spans="1:4" x14ac:dyDescent="0.25">
      <c r="A17" s="24" t="s">
        <v>164</v>
      </c>
    </row>
    <row r="18" spans="1:4" x14ac:dyDescent="0.25">
      <c r="A18" t="s">
        <v>106</v>
      </c>
      <c r="B18" t="s">
        <v>83</v>
      </c>
      <c r="C18" s="21">
        <v>0.623</v>
      </c>
      <c r="D18" t="s">
        <v>107</v>
      </c>
    </row>
    <row r="19" spans="1:4" x14ac:dyDescent="0.25">
      <c r="A19" t="s">
        <v>108</v>
      </c>
      <c r="B19" t="s">
        <v>95</v>
      </c>
      <c r="C19" s="21">
        <v>0.86799999999999999</v>
      </c>
      <c r="D19" t="s">
        <v>101</v>
      </c>
    </row>
    <row r="20" spans="1:4" x14ac:dyDescent="0.25">
      <c r="A20" t="s">
        <v>109</v>
      </c>
      <c r="B20" t="s">
        <v>83</v>
      </c>
      <c r="C20">
        <v>2.09</v>
      </c>
      <c r="D20" t="s">
        <v>110</v>
      </c>
    </row>
    <row r="21" spans="1:4" x14ac:dyDescent="0.25">
      <c r="A21" s="24" t="s">
        <v>165</v>
      </c>
    </row>
    <row r="22" spans="1:4" x14ac:dyDescent="0.25">
      <c r="A22" t="s">
        <v>115</v>
      </c>
      <c r="B22" t="s">
        <v>95</v>
      </c>
      <c r="C22" s="15">
        <v>0</v>
      </c>
      <c r="D22" t="s">
        <v>116</v>
      </c>
    </row>
    <row r="23" spans="1:4" x14ac:dyDescent="0.25">
      <c r="A23" t="s">
        <v>117</v>
      </c>
      <c r="B23" t="s">
        <v>95</v>
      </c>
      <c r="C23" s="15">
        <v>0</v>
      </c>
      <c r="D23" t="s">
        <v>116</v>
      </c>
    </row>
    <row r="24" spans="1:4" x14ac:dyDescent="0.25">
      <c r="A24" t="s">
        <v>118</v>
      </c>
      <c r="B24" t="s">
        <v>95</v>
      </c>
      <c r="C24" s="15">
        <v>0</v>
      </c>
      <c r="D24" t="s">
        <v>116</v>
      </c>
    </row>
    <row r="25" spans="1:4" x14ac:dyDescent="0.25">
      <c r="A25" t="s">
        <v>119</v>
      </c>
      <c r="B25" t="s">
        <v>83</v>
      </c>
      <c r="C25" s="21">
        <v>0.434</v>
      </c>
      <c r="D25" t="s">
        <v>116</v>
      </c>
    </row>
    <row r="26" spans="1:4" x14ac:dyDescent="0.25">
      <c r="A26" t="s">
        <v>120</v>
      </c>
      <c r="B26" t="s">
        <v>95</v>
      </c>
      <c r="C26" s="21">
        <v>5.0000000000000001E-4</v>
      </c>
      <c r="D26" t="s">
        <v>116</v>
      </c>
    </row>
    <row r="27" spans="1:4" x14ac:dyDescent="0.25">
      <c r="A27" t="s">
        <v>121</v>
      </c>
      <c r="B27" t="s">
        <v>95</v>
      </c>
      <c r="C27" s="15">
        <v>0</v>
      </c>
      <c r="D27" s="15">
        <v>0</v>
      </c>
    </row>
    <row r="28" spans="1:4" x14ac:dyDescent="0.25">
      <c r="A28" s="24" t="s">
        <v>166</v>
      </c>
      <c r="C28" s="15"/>
      <c r="D28" s="15"/>
    </row>
    <row r="29" spans="1:4" x14ac:dyDescent="0.25">
      <c r="A29" t="s">
        <v>123</v>
      </c>
      <c r="B29" t="s">
        <v>83</v>
      </c>
      <c r="C29" s="15">
        <v>0.32</v>
      </c>
      <c r="D29" t="s">
        <v>124</v>
      </c>
    </row>
    <row r="30" spans="1:4" x14ac:dyDescent="0.25">
      <c r="A30" t="s">
        <v>125</v>
      </c>
      <c r="B30" t="s">
        <v>95</v>
      </c>
      <c r="C30" s="15">
        <v>0.41</v>
      </c>
      <c r="D30" t="s">
        <v>126</v>
      </c>
    </row>
    <row r="31" spans="1:4" x14ac:dyDescent="0.25">
      <c r="A31" t="s">
        <v>127</v>
      </c>
      <c r="B31" t="s">
        <v>95</v>
      </c>
      <c r="C31" s="15">
        <v>0</v>
      </c>
      <c r="D31" t="s">
        <v>128</v>
      </c>
    </row>
    <row r="32" spans="1:4" x14ac:dyDescent="0.25">
      <c r="A32" t="s">
        <v>129</v>
      </c>
      <c r="B32" t="s">
        <v>95</v>
      </c>
      <c r="C32" s="21">
        <v>1.6000000000000001E-3</v>
      </c>
      <c r="D32" t="s">
        <v>130</v>
      </c>
    </row>
    <row r="33" spans="1:4" x14ac:dyDescent="0.25">
      <c r="A33" t="s">
        <v>152</v>
      </c>
    </row>
    <row r="34" spans="1:4" x14ac:dyDescent="0.25">
      <c r="A34" s="24" t="s">
        <v>131</v>
      </c>
    </row>
    <row r="35" spans="1:4" x14ac:dyDescent="0.25">
      <c r="A35" t="s">
        <v>71</v>
      </c>
      <c r="B35" t="s">
        <v>83</v>
      </c>
      <c r="C35">
        <v>1</v>
      </c>
      <c r="D35">
        <v>0</v>
      </c>
    </row>
    <row r="36" spans="1:4" x14ac:dyDescent="0.25">
      <c r="A36" t="s">
        <v>132</v>
      </c>
      <c r="B36" t="s">
        <v>83</v>
      </c>
      <c r="C36">
        <v>0.01</v>
      </c>
      <c r="D36">
        <v>0</v>
      </c>
    </row>
    <row r="37" spans="1:4" x14ac:dyDescent="0.25">
      <c r="A37" t="s">
        <v>72</v>
      </c>
      <c r="B37" t="s">
        <v>83</v>
      </c>
      <c r="C37">
        <v>44</v>
      </c>
      <c r="D37" t="s">
        <v>153</v>
      </c>
    </row>
    <row r="38" spans="1:4" x14ac:dyDescent="0.25">
      <c r="A38" t="s">
        <v>133</v>
      </c>
      <c r="B38" t="s">
        <v>95</v>
      </c>
      <c r="C38">
        <v>0.1</v>
      </c>
      <c r="D38" t="s">
        <v>161</v>
      </c>
    </row>
    <row r="39" spans="1:4" x14ac:dyDescent="0.25">
      <c r="A39" t="s">
        <v>134</v>
      </c>
      <c r="B39" t="s">
        <v>83</v>
      </c>
      <c r="C39">
        <v>49</v>
      </c>
      <c r="D39" t="s">
        <v>154</v>
      </c>
    </row>
    <row r="40" spans="1:4" x14ac:dyDescent="0.25">
      <c r="A40" t="s">
        <v>135</v>
      </c>
      <c r="B40" t="s">
        <v>83</v>
      </c>
      <c r="C40">
        <v>0.6</v>
      </c>
      <c r="D40" t="s">
        <v>155</v>
      </c>
    </row>
    <row r="41" spans="1:4" x14ac:dyDescent="0.25">
      <c r="A41" t="s">
        <v>136</v>
      </c>
      <c r="B41" t="s">
        <v>95</v>
      </c>
      <c r="C41" s="22">
        <v>7929</v>
      </c>
      <c r="D41" s="22" t="s">
        <v>156</v>
      </c>
    </row>
    <row r="42" spans="1:4" x14ac:dyDescent="0.25">
      <c r="A42" s="24" t="s">
        <v>137</v>
      </c>
      <c r="C42" s="22"/>
      <c r="D42" s="22"/>
    </row>
    <row r="43" spans="1:4" x14ac:dyDescent="0.25">
      <c r="A43" t="s">
        <v>71</v>
      </c>
      <c r="B43" t="s">
        <v>95</v>
      </c>
      <c r="C43">
        <v>0</v>
      </c>
      <c r="D43">
        <v>0</v>
      </c>
    </row>
    <row r="44" spans="1:4" x14ac:dyDescent="0.25">
      <c r="A44" t="s">
        <v>132</v>
      </c>
      <c r="B44" t="s">
        <v>95</v>
      </c>
      <c r="C44">
        <v>0</v>
      </c>
      <c r="D44">
        <v>0</v>
      </c>
    </row>
    <row r="45" spans="1:4" x14ac:dyDescent="0.25">
      <c r="A45" t="s">
        <v>72</v>
      </c>
      <c r="B45" t="s">
        <v>95</v>
      </c>
      <c r="C45">
        <v>17</v>
      </c>
      <c r="D45" t="s">
        <v>157</v>
      </c>
    </row>
    <row r="46" spans="1:4" x14ac:dyDescent="0.25">
      <c r="A46" t="s">
        <v>133</v>
      </c>
      <c r="B46" t="s">
        <v>95</v>
      </c>
      <c r="C46">
        <v>0.2</v>
      </c>
      <c r="D46" t="s">
        <v>158</v>
      </c>
    </row>
    <row r="47" spans="1:4" x14ac:dyDescent="0.25">
      <c r="A47" t="s">
        <v>134</v>
      </c>
      <c r="B47" t="s">
        <v>95</v>
      </c>
      <c r="C47">
        <v>17</v>
      </c>
      <c r="D47" t="s">
        <v>159</v>
      </c>
    </row>
    <row r="48" spans="1:4" x14ac:dyDescent="0.25">
      <c r="A48" t="s">
        <v>135</v>
      </c>
      <c r="B48" t="s">
        <v>95</v>
      </c>
      <c r="C48">
        <v>0.2</v>
      </c>
      <c r="D48" t="s">
        <v>158</v>
      </c>
    </row>
    <row r="49" spans="1:4" x14ac:dyDescent="0.25">
      <c r="A49" t="s">
        <v>136</v>
      </c>
      <c r="B49" t="s">
        <v>83</v>
      </c>
      <c r="C49" s="22">
        <v>15101</v>
      </c>
      <c r="D49" s="22" t="s">
        <v>167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782D-92DC-4DC3-BB49-53C081EF8C06}">
  <dimension ref="A1:BP8"/>
  <sheetViews>
    <sheetView topLeftCell="AS1" workbookViewId="0">
      <selection activeCell="AY2" sqref="AY2:AY8"/>
    </sheetView>
  </sheetViews>
  <sheetFormatPr defaultRowHeight="15" x14ac:dyDescent="0.25"/>
  <sheetData>
    <row r="1" spans="1:68" x14ac:dyDescent="0.25">
      <c r="A1" t="s">
        <v>67</v>
      </c>
      <c r="B1" s="5" t="s">
        <v>0</v>
      </c>
      <c r="C1" s="6" t="s">
        <v>1</v>
      </c>
      <c r="D1" s="5" t="s">
        <v>2</v>
      </c>
      <c r="E1" s="6" t="s">
        <v>3</v>
      </c>
      <c r="F1" s="5" t="s">
        <v>4</v>
      </c>
      <c r="G1" s="6" t="s">
        <v>5</v>
      </c>
      <c r="H1" s="5" t="s">
        <v>6</v>
      </c>
      <c r="I1" s="6" t="s">
        <v>7</v>
      </c>
      <c r="J1" s="5" t="s">
        <v>8</v>
      </c>
      <c r="K1" s="6" t="s">
        <v>9</v>
      </c>
      <c r="L1" s="5" t="s">
        <v>10</v>
      </c>
      <c r="M1" s="6" t="s">
        <v>11</v>
      </c>
      <c r="N1" s="5" t="s">
        <v>12</v>
      </c>
      <c r="O1" s="6" t="s">
        <v>13</v>
      </c>
      <c r="P1" s="5" t="s">
        <v>14</v>
      </c>
      <c r="Q1" s="6" t="s">
        <v>15</v>
      </c>
      <c r="R1" s="5" t="s">
        <v>16</v>
      </c>
      <c r="S1" s="6" t="s">
        <v>17</v>
      </c>
      <c r="T1" s="5" t="s">
        <v>18</v>
      </c>
      <c r="U1" s="6" t="s">
        <v>19</v>
      </c>
      <c r="V1" s="5" t="s">
        <v>20</v>
      </c>
      <c r="W1" s="6" t="s">
        <v>21</v>
      </c>
      <c r="X1" s="5" t="s">
        <v>22</v>
      </c>
      <c r="Y1" s="6" t="s">
        <v>23</v>
      </c>
      <c r="Z1" s="5" t="s">
        <v>24</v>
      </c>
      <c r="AA1" s="6" t="s">
        <v>25</v>
      </c>
      <c r="AB1" s="5" t="s">
        <v>26</v>
      </c>
      <c r="AC1" s="6" t="s">
        <v>27</v>
      </c>
      <c r="AD1" s="5" t="s">
        <v>28</v>
      </c>
      <c r="AE1" s="6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5" t="s">
        <v>38</v>
      </c>
      <c r="AO1" s="6" t="s">
        <v>39</v>
      </c>
      <c r="AP1" s="5" t="s">
        <v>40</v>
      </c>
      <c r="AQ1" s="6" t="s">
        <v>41</v>
      </c>
      <c r="AR1" s="5" t="s">
        <v>42</v>
      </c>
      <c r="AS1" s="6" t="s">
        <v>43</v>
      </c>
      <c r="AT1" s="5" t="s">
        <v>44</v>
      </c>
      <c r="AU1" s="6" t="s">
        <v>45</v>
      </c>
      <c r="AV1" s="5" t="s">
        <v>46</v>
      </c>
      <c r="AW1" s="6" t="s">
        <v>47</v>
      </c>
      <c r="AX1" s="5" t="s">
        <v>48</v>
      </c>
      <c r="AY1" s="6" t="s">
        <v>49</v>
      </c>
      <c r="AZ1" s="5" t="s">
        <v>50</v>
      </c>
      <c r="BA1" s="6" t="s">
        <v>51</v>
      </c>
      <c r="BB1" s="5" t="s">
        <v>52</v>
      </c>
      <c r="BC1" s="6" t="s">
        <v>53</v>
      </c>
      <c r="BD1" s="5" t="s">
        <v>54</v>
      </c>
      <c r="BE1" s="6" t="s">
        <v>55</v>
      </c>
      <c r="BF1" s="5" t="s">
        <v>56</v>
      </c>
      <c r="BG1" s="6" t="s">
        <v>57</v>
      </c>
      <c r="BH1" s="5" t="s">
        <v>58</v>
      </c>
      <c r="BI1" s="6" t="s">
        <v>59</v>
      </c>
      <c r="BJ1" s="5" t="s">
        <v>60</v>
      </c>
      <c r="BK1" s="6" t="s">
        <v>61</v>
      </c>
      <c r="BL1" s="5" t="s">
        <v>62</v>
      </c>
      <c r="BM1" s="6" t="s">
        <v>63</v>
      </c>
      <c r="BN1" s="5" t="s">
        <v>64</v>
      </c>
      <c r="BO1" s="6" t="s">
        <v>65</v>
      </c>
      <c r="BP1" s="5" t="s">
        <v>66</v>
      </c>
    </row>
    <row r="2" spans="1:68" x14ac:dyDescent="0.25">
      <c r="A2">
        <v>2018</v>
      </c>
      <c r="B2" s="3">
        <v>51</v>
      </c>
      <c r="C2" s="1">
        <v>5</v>
      </c>
      <c r="D2" s="3">
        <v>26</v>
      </c>
      <c r="E2" s="1">
        <v>9</v>
      </c>
      <c r="F2" s="3">
        <v>85</v>
      </c>
      <c r="G2" s="1">
        <v>235</v>
      </c>
      <c r="H2" s="3">
        <v>8</v>
      </c>
      <c r="I2" s="1">
        <v>27</v>
      </c>
      <c r="J2" s="3">
        <v>37</v>
      </c>
      <c r="K2" s="1">
        <v>19</v>
      </c>
      <c r="L2" s="3">
        <v>45</v>
      </c>
      <c r="M2" s="1">
        <v>21</v>
      </c>
      <c r="N2" s="3">
        <v>15</v>
      </c>
      <c r="O2" s="1">
        <v>2</v>
      </c>
      <c r="P2" s="3">
        <v>144</v>
      </c>
      <c r="Q2" s="1">
        <v>64</v>
      </c>
      <c r="R2" s="3">
        <v>15</v>
      </c>
      <c r="S2" s="1">
        <v>1</v>
      </c>
      <c r="T2" s="3">
        <v>12</v>
      </c>
      <c r="U2" s="1">
        <v>12</v>
      </c>
      <c r="V2" s="3">
        <v>10</v>
      </c>
      <c r="W2" s="1">
        <v>4</v>
      </c>
      <c r="X2" s="3">
        <v>3</v>
      </c>
      <c r="Y2" s="1">
        <v>9</v>
      </c>
      <c r="Z2" s="3">
        <v>14</v>
      </c>
      <c r="AA2" s="1">
        <v>31</v>
      </c>
      <c r="AB2" s="3">
        <v>22</v>
      </c>
      <c r="AC2" s="1">
        <v>176</v>
      </c>
      <c r="AD2" s="3">
        <v>5</v>
      </c>
      <c r="AE2" s="1">
        <v>33</v>
      </c>
      <c r="AF2" s="3">
        <v>15</v>
      </c>
      <c r="AG2" s="1">
        <v>7</v>
      </c>
      <c r="AH2" s="3">
        <v>0</v>
      </c>
      <c r="AI2" s="1">
        <v>62</v>
      </c>
      <c r="AJ2" s="3">
        <v>95</v>
      </c>
      <c r="AK2" s="1">
        <v>30</v>
      </c>
      <c r="AL2" s="3">
        <v>19</v>
      </c>
      <c r="AM2" s="1">
        <v>2</v>
      </c>
      <c r="AN2" s="3">
        <v>6</v>
      </c>
      <c r="AO2" s="1">
        <v>75</v>
      </c>
      <c r="AP2" s="3">
        <v>84</v>
      </c>
      <c r="AQ2" s="1">
        <v>23</v>
      </c>
      <c r="AR2" s="3">
        <v>293</v>
      </c>
      <c r="AS2" s="1">
        <v>20</v>
      </c>
      <c r="AT2" s="3">
        <v>18</v>
      </c>
      <c r="AU2" s="1">
        <v>27</v>
      </c>
      <c r="AV2" s="3">
        <v>13</v>
      </c>
      <c r="AW2" s="1">
        <v>177</v>
      </c>
      <c r="AX2" s="3">
        <v>65</v>
      </c>
      <c r="AY2" s="1">
        <v>183</v>
      </c>
      <c r="AZ2" s="3">
        <v>99</v>
      </c>
      <c r="BA2" s="1">
        <v>129</v>
      </c>
      <c r="BB2" s="3">
        <v>124</v>
      </c>
      <c r="BC2" s="1">
        <v>38</v>
      </c>
      <c r="BD2" s="3">
        <v>25</v>
      </c>
      <c r="BE2" s="1">
        <v>51</v>
      </c>
      <c r="BF2" s="3">
        <v>37</v>
      </c>
      <c r="BG2" s="1">
        <v>34</v>
      </c>
      <c r="BH2" s="3">
        <v>42</v>
      </c>
      <c r="BI2" s="1">
        <v>25</v>
      </c>
      <c r="BJ2" s="3">
        <v>20</v>
      </c>
      <c r="BK2" s="1">
        <v>6</v>
      </c>
      <c r="BL2" s="3">
        <v>3</v>
      </c>
      <c r="BM2" s="1">
        <v>106</v>
      </c>
      <c r="BN2" s="3">
        <v>9</v>
      </c>
      <c r="BO2" s="1">
        <v>24</v>
      </c>
      <c r="BP2" s="3">
        <v>10</v>
      </c>
    </row>
    <row r="3" spans="1:68" x14ac:dyDescent="0.25">
      <c r="A3">
        <v>2019</v>
      </c>
      <c r="B3" s="3">
        <v>73</v>
      </c>
      <c r="C3" s="1">
        <v>6</v>
      </c>
      <c r="D3" s="3">
        <v>32</v>
      </c>
      <c r="E3" s="1">
        <v>12</v>
      </c>
      <c r="F3" s="3">
        <v>84</v>
      </c>
      <c r="G3" s="1">
        <v>215</v>
      </c>
      <c r="H3" s="3">
        <v>4</v>
      </c>
      <c r="I3" s="1">
        <v>22</v>
      </c>
      <c r="J3" s="3">
        <v>22</v>
      </c>
      <c r="K3" s="1">
        <v>26</v>
      </c>
      <c r="L3" s="3">
        <v>52</v>
      </c>
      <c r="M3" s="1">
        <v>30</v>
      </c>
      <c r="N3" s="3">
        <v>8</v>
      </c>
      <c r="O3" s="1">
        <v>5</v>
      </c>
      <c r="P3" s="3">
        <v>158</v>
      </c>
      <c r="Q3" s="1">
        <v>64</v>
      </c>
      <c r="R3" s="3">
        <v>11</v>
      </c>
      <c r="S3" s="1">
        <v>3</v>
      </c>
      <c r="T3" s="3">
        <v>8</v>
      </c>
      <c r="U3" s="1">
        <v>6</v>
      </c>
      <c r="V3" s="3">
        <v>13</v>
      </c>
      <c r="W3" s="1">
        <v>2</v>
      </c>
      <c r="X3" s="3">
        <v>6</v>
      </c>
      <c r="Y3" s="1">
        <v>13</v>
      </c>
      <c r="Z3" s="3">
        <v>8</v>
      </c>
      <c r="AA3" s="1">
        <v>25</v>
      </c>
      <c r="AB3" s="3">
        <v>31</v>
      </c>
      <c r="AC3" s="1">
        <v>218</v>
      </c>
      <c r="AD3" s="3">
        <v>8</v>
      </c>
      <c r="AE3" s="1">
        <v>25</v>
      </c>
      <c r="AF3" s="3">
        <v>21</v>
      </c>
      <c r="AG3" s="1">
        <v>3</v>
      </c>
      <c r="AH3" s="3">
        <v>2</v>
      </c>
      <c r="AI3" s="1">
        <v>62</v>
      </c>
      <c r="AJ3" s="3">
        <v>98</v>
      </c>
      <c r="AK3" s="1">
        <v>35</v>
      </c>
      <c r="AL3" s="3">
        <v>16</v>
      </c>
      <c r="AM3" s="1">
        <v>1</v>
      </c>
      <c r="AN3" s="3">
        <v>10</v>
      </c>
      <c r="AO3" s="1">
        <v>57</v>
      </c>
      <c r="AP3" s="3">
        <v>90</v>
      </c>
      <c r="AQ3" s="1">
        <v>28</v>
      </c>
      <c r="AR3" s="3">
        <v>300</v>
      </c>
      <c r="AS3" s="1">
        <v>18</v>
      </c>
      <c r="AT3" s="3">
        <v>17</v>
      </c>
      <c r="AU3" s="1">
        <v>38</v>
      </c>
      <c r="AV3" s="3">
        <v>14</v>
      </c>
      <c r="AW3" s="1">
        <v>173</v>
      </c>
      <c r="AX3" s="3">
        <v>72</v>
      </c>
      <c r="AY3" s="1">
        <v>174</v>
      </c>
      <c r="AZ3" s="3">
        <v>100</v>
      </c>
      <c r="BA3" s="1">
        <v>108</v>
      </c>
      <c r="BB3" s="3">
        <v>125</v>
      </c>
      <c r="BC3" s="1">
        <v>34</v>
      </c>
      <c r="BD3" s="3">
        <v>21</v>
      </c>
      <c r="BE3" s="1">
        <v>57</v>
      </c>
      <c r="BF3" s="3">
        <v>48</v>
      </c>
      <c r="BG3" s="1">
        <v>31</v>
      </c>
      <c r="BH3" s="3">
        <v>38</v>
      </c>
      <c r="BI3" s="1">
        <v>25</v>
      </c>
      <c r="BJ3" s="3">
        <v>14</v>
      </c>
      <c r="BK3" s="1">
        <v>5</v>
      </c>
      <c r="BL3" s="3">
        <v>3</v>
      </c>
      <c r="BM3" s="1">
        <v>126</v>
      </c>
      <c r="BN3" s="3">
        <v>8</v>
      </c>
      <c r="BO3" s="1">
        <v>20</v>
      </c>
      <c r="BP3" s="3">
        <v>10</v>
      </c>
    </row>
    <row r="4" spans="1:68" x14ac:dyDescent="0.25">
      <c r="A4">
        <v>2020</v>
      </c>
      <c r="B4" s="3">
        <v>49</v>
      </c>
      <c r="C4" s="1">
        <v>4</v>
      </c>
      <c r="D4" s="3">
        <v>35</v>
      </c>
      <c r="E4" s="1">
        <v>10</v>
      </c>
      <c r="F4" s="3">
        <v>81</v>
      </c>
      <c r="G4" s="1">
        <v>267</v>
      </c>
      <c r="H4" s="3">
        <v>3</v>
      </c>
      <c r="I4" s="1">
        <v>26</v>
      </c>
      <c r="J4" s="3">
        <v>39</v>
      </c>
      <c r="K4" s="1">
        <v>24</v>
      </c>
      <c r="L4" s="3">
        <v>42</v>
      </c>
      <c r="M4" s="1">
        <v>22</v>
      </c>
      <c r="N4" s="3">
        <v>14</v>
      </c>
      <c r="O4" s="1">
        <v>6</v>
      </c>
      <c r="P4" s="3">
        <v>187</v>
      </c>
      <c r="Q4" s="1">
        <v>57</v>
      </c>
      <c r="R4" s="3">
        <v>27</v>
      </c>
      <c r="S4" s="1">
        <v>1</v>
      </c>
      <c r="T4" s="3">
        <v>17</v>
      </c>
      <c r="U4" s="1">
        <v>5</v>
      </c>
      <c r="V4" s="3">
        <v>4</v>
      </c>
      <c r="W4" s="1">
        <v>5</v>
      </c>
      <c r="X4" s="3">
        <v>12</v>
      </c>
      <c r="Y4" s="1">
        <v>8</v>
      </c>
      <c r="Z4" s="3">
        <v>13</v>
      </c>
      <c r="AA4" s="1">
        <v>44</v>
      </c>
      <c r="AB4" s="3">
        <v>27</v>
      </c>
      <c r="AC4" s="1">
        <v>213</v>
      </c>
      <c r="AD4" s="3">
        <v>6</v>
      </c>
      <c r="AE4" s="1">
        <v>22</v>
      </c>
      <c r="AF4" s="3">
        <v>20</v>
      </c>
      <c r="AG4" s="1">
        <v>1</v>
      </c>
      <c r="AH4" s="3">
        <v>0</v>
      </c>
      <c r="AI4" s="1">
        <v>53</v>
      </c>
      <c r="AJ4" s="3">
        <v>107</v>
      </c>
      <c r="AK4" s="1">
        <v>35</v>
      </c>
      <c r="AL4" s="3">
        <v>13</v>
      </c>
      <c r="AM4" s="1">
        <v>1</v>
      </c>
      <c r="AN4" s="3">
        <v>5</v>
      </c>
      <c r="AO4" s="1">
        <v>65</v>
      </c>
      <c r="AP4" s="3">
        <v>105</v>
      </c>
      <c r="AQ4" s="1">
        <v>23</v>
      </c>
      <c r="AR4" s="3">
        <v>318</v>
      </c>
      <c r="AS4" s="1">
        <v>12</v>
      </c>
      <c r="AT4" s="3">
        <v>16</v>
      </c>
      <c r="AU4" s="1">
        <v>45</v>
      </c>
      <c r="AV4" s="3">
        <v>19</v>
      </c>
      <c r="AW4" s="1">
        <v>177</v>
      </c>
      <c r="AX4" s="3">
        <v>58</v>
      </c>
      <c r="AY4" s="1">
        <v>185</v>
      </c>
      <c r="AZ4" s="3">
        <v>109</v>
      </c>
      <c r="BA4" s="1">
        <v>108</v>
      </c>
      <c r="BB4" s="3">
        <v>134</v>
      </c>
      <c r="BC4" s="1">
        <v>31</v>
      </c>
      <c r="BD4" s="3">
        <v>21</v>
      </c>
      <c r="BE4" s="1">
        <v>61</v>
      </c>
      <c r="BF4" s="3">
        <v>37</v>
      </c>
      <c r="BG4" s="1">
        <v>39</v>
      </c>
      <c r="BH4" s="3">
        <v>49</v>
      </c>
      <c r="BI4" s="1">
        <v>24</v>
      </c>
      <c r="BJ4" s="3">
        <v>20</v>
      </c>
      <c r="BK4" s="1">
        <v>3</v>
      </c>
      <c r="BL4" s="3">
        <v>2</v>
      </c>
      <c r="BM4" s="1">
        <v>136</v>
      </c>
      <c r="BN4" s="3">
        <v>3</v>
      </c>
      <c r="BO4" s="1">
        <v>29</v>
      </c>
      <c r="BP4" s="3">
        <v>10</v>
      </c>
    </row>
    <row r="5" spans="1:68" x14ac:dyDescent="0.25">
      <c r="A5">
        <v>2021</v>
      </c>
      <c r="B5" s="3">
        <v>57</v>
      </c>
      <c r="C5" s="1">
        <v>6</v>
      </c>
      <c r="D5" s="3">
        <v>47</v>
      </c>
      <c r="E5" s="1">
        <v>7</v>
      </c>
      <c r="F5" s="3">
        <v>102</v>
      </c>
      <c r="G5" s="1">
        <v>279</v>
      </c>
      <c r="H5" s="3">
        <v>9</v>
      </c>
      <c r="I5" s="1">
        <v>30</v>
      </c>
      <c r="J5" s="3">
        <v>37</v>
      </c>
      <c r="K5" s="1">
        <v>27</v>
      </c>
      <c r="L5" s="3">
        <v>41</v>
      </c>
      <c r="M5" s="1">
        <v>25</v>
      </c>
      <c r="N5" s="3">
        <v>14</v>
      </c>
      <c r="O5" s="1">
        <v>5</v>
      </c>
      <c r="P5" s="3">
        <v>192</v>
      </c>
      <c r="Q5" s="1">
        <v>77</v>
      </c>
      <c r="R5" s="3">
        <v>16</v>
      </c>
      <c r="S5" s="1">
        <v>2</v>
      </c>
      <c r="T5" s="3">
        <v>12</v>
      </c>
      <c r="U5" s="1">
        <v>3</v>
      </c>
      <c r="V5" s="3">
        <v>3</v>
      </c>
      <c r="W5" s="1">
        <v>1</v>
      </c>
      <c r="X5" s="3">
        <v>4</v>
      </c>
      <c r="Y5" s="1">
        <v>16</v>
      </c>
      <c r="Z5" s="3">
        <v>22</v>
      </c>
      <c r="AA5" s="1">
        <v>33</v>
      </c>
      <c r="AB5" s="3">
        <v>41</v>
      </c>
      <c r="AC5" s="1">
        <v>271</v>
      </c>
      <c r="AD5" s="3">
        <v>6</v>
      </c>
      <c r="AE5" s="1">
        <v>24</v>
      </c>
      <c r="AF5" s="3">
        <v>16</v>
      </c>
      <c r="AG5" s="1">
        <v>5</v>
      </c>
      <c r="AH5" s="3">
        <v>1</v>
      </c>
      <c r="AI5" s="1">
        <v>65</v>
      </c>
      <c r="AJ5" s="3">
        <v>115</v>
      </c>
      <c r="AK5" s="1">
        <v>45</v>
      </c>
      <c r="AL5" s="3">
        <v>14</v>
      </c>
      <c r="AM5" s="1">
        <v>2</v>
      </c>
      <c r="AN5" s="3">
        <v>5</v>
      </c>
      <c r="AO5" s="1">
        <v>71</v>
      </c>
      <c r="AP5" s="3">
        <v>93</v>
      </c>
      <c r="AQ5" s="1">
        <v>27</v>
      </c>
      <c r="AR5" s="3">
        <v>354</v>
      </c>
      <c r="AS5" s="1">
        <v>20</v>
      </c>
      <c r="AT5" s="3">
        <v>10</v>
      </c>
      <c r="AU5" s="1">
        <v>43</v>
      </c>
      <c r="AV5" s="3">
        <v>19</v>
      </c>
      <c r="AW5" s="1">
        <v>217</v>
      </c>
      <c r="AX5" s="3">
        <v>58</v>
      </c>
      <c r="AY5" s="1">
        <v>215</v>
      </c>
      <c r="AZ5" s="3">
        <v>105</v>
      </c>
      <c r="BA5" s="1">
        <v>158</v>
      </c>
      <c r="BB5" s="3">
        <v>180</v>
      </c>
      <c r="BC5" s="1">
        <v>27</v>
      </c>
      <c r="BD5" s="3">
        <v>22</v>
      </c>
      <c r="BE5" s="1">
        <v>61</v>
      </c>
      <c r="BF5" s="3">
        <v>33</v>
      </c>
      <c r="BG5" s="1">
        <v>37</v>
      </c>
      <c r="BH5" s="3">
        <v>50</v>
      </c>
      <c r="BI5" s="1">
        <v>29</v>
      </c>
      <c r="BJ5" s="3">
        <v>18</v>
      </c>
      <c r="BK5" s="1">
        <v>6</v>
      </c>
      <c r="BL5" s="3">
        <v>10</v>
      </c>
      <c r="BM5" s="1">
        <v>149</v>
      </c>
      <c r="BN5" s="3">
        <v>6</v>
      </c>
      <c r="BO5" s="1">
        <v>39</v>
      </c>
      <c r="BP5" s="3">
        <v>7</v>
      </c>
    </row>
    <row r="6" spans="1:68" x14ac:dyDescent="0.25">
      <c r="A6">
        <v>2022</v>
      </c>
      <c r="B6" s="3">
        <v>50</v>
      </c>
      <c r="C6" s="1">
        <v>2</v>
      </c>
      <c r="D6" s="3">
        <v>49</v>
      </c>
      <c r="E6" s="1">
        <v>6</v>
      </c>
      <c r="F6" s="3">
        <v>92</v>
      </c>
      <c r="G6" s="1">
        <v>269</v>
      </c>
      <c r="H6" s="3">
        <v>11</v>
      </c>
      <c r="I6" s="1">
        <v>40</v>
      </c>
      <c r="J6" s="3">
        <v>26</v>
      </c>
      <c r="K6" s="1">
        <v>34</v>
      </c>
      <c r="L6" s="3">
        <v>45</v>
      </c>
      <c r="M6" s="1">
        <v>19</v>
      </c>
      <c r="N6" s="3">
        <v>20</v>
      </c>
      <c r="O6" s="1">
        <v>10</v>
      </c>
      <c r="P6" s="3">
        <v>158</v>
      </c>
      <c r="Q6" s="1">
        <v>57</v>
      </c>
      <c r="R6" s="3">
        <v>27</v>
      </c>
      <c r="S6" s="1">
        <v>2</v>
      </c>
      <c r="T6" s="3">
        <v>16</v>
      </c>
      <c r="U6" s="1">
        <v>4</v>
      </c>
      <c r="V6" s="3">
        <v>9</v>
      </c>
      <c r="W6" s="1">
        <v>6</v>
      </c>
      <c r="X6" s="3">
        <v>12</v>
      </c>
      <c r="Y6" s="1">
        <v>8</v>
      </c>
      <c r="Z6" s="3">
        <v>17</v>
      </c>
      <c r="AA6" s="1">
        <v>45</v>
      </c>
      <c r="AB6" s="3">
        <v>35</v>
      </c>
      <c r="AC6" s="1">
        <v>229</v>
      </c>
      <c r="AD6" s="3">
        <v>5</v>
      </c>
      <c r="AE6" s="1">
        <v>24</v>
      </c>
      <c r="AF6" s="3">
        <v>11</v>
      </c>
      <c r="AG6" s="1">
        <v>4</v>
      </c>
      <c r="AH6" s="3">
        <v>3</v>
      </c>
      <c r="AI6" s="1">
        <v>73</v>
      </c>
      <c r="AJ6" s="3">
        <v>136</v>
      </c>
      <c r="AK6" s="1">
        <v>36</v>
      </c>
      <c r="AL6" s="3">
        <v>10</v>
      </c>
      <c r="AM6" s="1">
        <v>0</v>
      </c>
      <c r="AN6" s="3">
        <v>8</v>
      </c>
      <c r="AO6" s="1">
        <v>71</v>
      </c>
      <c r="AP6" s="3">
        <v>112</v>
      </c>
      <c r="AQ6" s="1">
        <v>38</v>
      </c>
      <c r="AR6" s="3">
        <v>323</v>
      </c>
      <c r="AS6" s="1">
        <v>9</v>
      </c>
      <c r="AT6" s="3">
        <v>14</v>
      </c>
      <c r="AU6" s="1">
        <v>21</v>
      </c>
      <c r="AV6" s="3">
        <v>12</v>
      </c>
      <c r="AW6" s="1">
        <v>209</v>
      </c>
      <c r="AX6" s="3">
        <v>73</v>
      </c>
      <c r="AY6" s="1">
        <v>226</v>
      </c>
      <c r="AZ6" s="3">
        <v>105</v>
      </c>
      <c r="BA6" s="1">
        <v>125</v>
      </c>
      <c r="BB6" s="3">
        <v>131</v>
      </c>
      <c r="BC6" s="1">
        <v>34</v>
      </c>
      <c r="BD6" s="3">
        <v>21</v>
      </c>
      <c r="BE6" s="1">
        <v>58</v>
      </c>
      <c r="BF6" s="3">
        <v>47</v>
      </c>
      <c r="BG6" s="1">
        <v>36</v>
      </c>
      <c r="BH6" s="3">
        <v>42</v>
      </c>
      <c r="BI6" s="1">
        <v>40</v>
      </c>
      <c r="BJ6" s="3">
        <v>16</v>
      </c>
      <c r="BK6" s="1">
        <v>12</v>
      </c>
      <c r="BL6" s="3">
        <v>2</v>
      </c>
      <c r="BM6" s="1">
        <v>122</v>
      </c>
      <c r="BN6" s="3">
        <v>7</v>
      </c>
      <c r="BO6" s="1">
        <v>25</v>
      </c>
      <c r="BP6" s="3">
        <v>5</v>
      </c>
    </row>
    <row r="7" spans="1:68" x14ac:dyDescent="0.25">
      <c r="A7">
        <v>2023</v>
      </c>
      <c r="B7" s="3">
        <v>58</v>
      </c>
      <c r="C7" s="1">
        <v>7</v>
      </c>
      <c r="D7" s="3">
        <v>25</v>
      </c>
      <c r="E7" s="1">
        <v>10</v>
      </c>
      <c r="F7" s="3">
        <v>100</v>
      </c>
      <c r="G7" s="1">
        <v>207</v>
      </c>
      <c r="H7" s="3">
        <v>7</v>
      </c>
      <c r="I7" s="1">
        <v>34</v>
      </c>
      <c r="J7" s="3">
        <v>27</v>
      </c>
      <c r="K7" s="1">
        <v>29</v>
      </c>
      <c r="L7" s="3">
        <v>42</v>
      </c>
      <c r="M7" s="1">
        <v>23</v>
      </c>
      <c r="N7" s="3">
        <v>13</v>
      </c>
      <c r="O7" s="1">
        <v>14</v>
      </c>
      <c r="P7" s="3">
        <v>173</v>
      </c>
      <c r="Q7" s="1">
        <v>64</v>
      </c>
      <c r="R7" s="3">
        <v>25</v>
      </c>
      <c r="S7" s="1">
        <v>6</v>
      </c>
      <c r="T7" s="3">
        <v>19</v>
      </c>
      <c r="U7" s="1">
        <v>7</v>
      </c>
      <c r="V7" s="3">
        <v>12</v>
      </c>
      <c r="W7" s="1">
        <v>6</v>
      </c>
      <c r="X7" s="3">
        <v>5</v>
      </c>
      <c r="Y7" s="1">
        <v>15</v>
      </c>
      <c r="Z7" s="3">
        <v>15</v>
      </c>
      <c r="AA7" s="1">
        <v>46</v>
      </c>
      <c r="AB7" s="3">
        <v>15</v>
      </c>
      <c r="AC7" s="1">
        <v>232</v>
      </c>
      <c r="AD7" s="3">
        <v>7</v>
      </c>
      <c r="AE7" s="1">
        <v>19</v>
      </c>
      <c r="AF7" s="3">
        <v>16</v>
      </c>
      <c r="AG7" s="1">
        <v>3</v>
      </c>
      <c r="AH7" s="3">
        <v>0</v>
      </c>
      <c r="AI7" s="1">
        <v>79</v>
      </c>
      <c r="AJ7" s="3">
        <v>126</v>
      </c>
      <c r="AK7" s="1">
        <v>39</v>
      </c>
      <c r="AL7" s="3">
        <v>20</v>
      </c>
      <c r="AM7" s="1">
        <v>1</v>
      </c>
      <c r="AN7" s="3">
        <v>11</v>
      </c>
      <c r="AO7" s="1">
        <v>72</v>
      </c>
      <c r="AP7" s="3">
        <v>100</v>
      </c>
      <c r="AQ7" s="1">
        <v>16</v>
      </c>
      <c r="AR7" s="3">
        <v>358</v>
      </c>
      <c r="AS7" s="1">
        <v>14</v>
      </c>
      <c r="AT7" s="3">
        <v>20</v>
      </c>
      <c r="AU7" s="1">
        <v>29</v>
      </c>
      <c r="AV7" s="3">
        <v>10</v>
      </c>
      <c r="AW7" s="1">
        <v>166</v>
      </c>
      <c r="AX7" s="3">
        <v>79</v>
      </c>
      <c r="AY7" s="1">
        <v>181</v>
      </c>
      <c r="AZ7" s="3">
        <v>92</v>
      </c>
      <c r="BA7" s="1">
        <v>110</v>
      </c>
      <c r="BB7" s="3">
        <v>160</v>
      </c>
      <c r="BC7" s="1">
        <v>22</v>
      </c>
      <c r="BD7" s="3">
        <v>22</v>
      </c>
      <c r="BE7" s="1">
        <v>57</v>
      </c>
      <c r="BF7" s="3">
        <v>49</v>
      </c>
      <c r="BG7" s="1">
        <v>40</v>
      </c>
      <c r="BH7" s="3">
        <v>47</v>
      </c>
      <c r="BI7" s="1">
        <v>23</v>
      </c>
      <c r="BJ7" s="3">
        <v>18</v>
      </c>
      <c r="BK7" s="1">
        <v>8</v>
      </c>
      <c r="BL7" s="3">
        <v>3</v>
      </c>
      <c r="BM7" s="1">
        <v>109</v>
      </c>
      <c r="BN7" s="3">
        <v>6</v>
      </c>
      <c r="BO7" s="1">
        <v>21</v>
      </c>
      <c r="BP7" s="3">
        <v>4</v>
      </c>
    </row>
    <row r="8" spans="1:68" x14ac:dyDescent="0.25">
      <c r="A8">
        <v>2024</v>
      </c>
      <c r="B8" s="4"/>
      <c r="C8" s="2"/>
      <c r="D8" s="4"/>
      <c r="E8" s="2"/>
      <c r="F8" s="4"/>
      <c r="G8" s="2"/>
      <c r="H8" s="4"/>
      <c r="I8" s="2"/>
      <c r="J8" s="4"/>
      <c r="K8" s="2"/>
      <c r="L8" s="4"/>
      <c r="M8" s="2"/>
      <c r="N8" s="4"/>
      <c r="O8" s="2"/>
      <c r="P8" s="4"/>
      <c r="Q8" s="2"/>
      <c r="R8" s="4"/>
      <c r="S8" s="2"/>
      <c r="T8" s="4"/>
      <c r="U8" s="2"/>
      <c r="V8" s="4"/>
      <c r="W8" s="2"/>
      <c r="X8" s="4"/>
      <c r="Y8" s="2"/>
      <c r="Z8" s="4"/>
      <c r="AA8" s="2"/>
      <c r="AB8" s="4"/>
      <c r="AC8" s="2"/>
      <c r="AD8" s="4"/>
      <c r="AE8" s="2"/>
      <c r="AF8" s="4"/>
      <c r="AG8" s="2"/>
      <c r="AH8" s="4"/>
      <c r="AI8" s="2"/>
      <c r="AJ8" s="4"/>
      <c r="AK8" s="2"/>
      <c r="AL8" s="4"/>
      <c r="AM8" s="2"/>
      <c r="AN8" s="4"/>
      <c r="AO8" s="2"/>
      <c r="AP8" s="4"/>
      <c r="AQ8" s="2"/>
      <c r="AR8" s="4"/>
      <c r="AS8" s="2"/>
      <c r="AT8" s="4"/>
      <c r="AU8" s="2"/>
      <c r="AV8" s="4"/>
      <c r="AW8" s="2"/>
      <c r="AX8" s="4"/>
      <c r="AY8" s="2">
        <v>210</v>
      </c>
      <c r="AZ8" s="4"/>
      <c r="BA8" s="2"/>
      <c r="BB8" s="4"/>
      <c r="BC8" s="2"/>
      <c r="BD8" s="4"/>
      <c r="BE8" s="2"/>
      <c r="BF8" s="4"/>
      <c r="BG8" s="2"/>
      <c r="BH8" s="4"/>
      <c r="BI8" s="2"/>
      <c r="BJ8" s="4"/>
      <c r="BK8" s="2"/>
      <c r="BL8" s="4"/>
      <c r="BM8" s="2"/>
      <c r="BN8" s="4"/>
      <c r="BO8" s="2"/>
      <c r="BP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646EAF80FAD4982FE70067F0C15B7" ma:contentTypeVersion="18" ma:contentTypeDescription="Create a new document." ma:contentTypeScope="" ma:versionID="117d40dd04d1d8d0bb23b06274497e9c">
  <xsd:schema xmlns:xsd="http://www.w3.org/2001/XMLSchema" xmlns:xs="http://www.w3.org/2001/XMLSchema" xmlns:p="http://schemas.microsoft.com/office/2006/metadata/properties" xmlns:ns2="a4029e18-23ab-4257-a5df-414358865460" xmlns:ns3="7876d93d-d0bb-4bfd-843d-b441e3c40ce9" targetNamespace="http://schemas.microsoft.com/office/2006/metadata/properties" ma:root="true" ma:fieldsID="f9a49253775755ed1ea146d09717cf12" ns2:_="" ns3:_="">
    <xsd:import namespace="a4029e18-23ab-4257-a5df-414358865460"/>
    <xsd:import namespace="7876d93d-d0bb-4bfd-843d-b441e3c40c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29e18-23ab-4257-a5df-414358865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3704f9-8836-463e-bd6f-c87358e3f2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d93d-d0bb-4bfd-843d-b441e3c40c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10284b5-a8b0-49b3-9e4c-01d4af30a2c5}" ma:internalName="TaxCatchAll" ma:showField="CatchAllData" ma:web="7876d93d-d0bb-4bfd-843d-b441e3c40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029e18-23ab-4257-a5df-414358865460">
      <Terms xmlns="http://schemas.microsoft.com/office/infopath/2007/PartnerControls"/>
    </lcf76f155ced4ddcb4097134ff3c332f>
    <TaxCatchAll xmlns="7876d93d-d0bb-4bfd-843d-b441e3c40ce9" xsi:nil="true"/>
  </documentManagement>
</p:properties>
</file>

<file path=customXml/itemProps1.xml><?xml version="1.0" encoding="utf-8"?>
<ds:datastoreItem xmlns:ds="http://schemas.openxmlformats.org/officeDocument/2006/customXml" ds:itemID="{88BA88E9-8EAF-4B64-B13C-AC899CA2B389}"/>
</file>

<file path=customXml/itemProps2.xml><?xml version="1.0" encoding="utf-8"?>
<ds:datastoreItem xmlns:ds="http://schemas.openxmlformats.org/officeDocument/2006/customXml" ds:itemID="{437DE154-FF8F-4C50-9794-AA1B78C0CB6B}"/>
</file>

<file path=customXml/itemProps3.xml><?xml version="1.0" encoding="utf-8"?>
<ds:datastoreItem xmlns:ds="http://schemas.openxmlformats.org/officeDocument/2006/customXml" ds:itemID="{F961D81C-915C-42C9-946E-CD12FEEB5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FATALITIES</vt:lpstr>
      <vt:lpstr>Fatalities_FBR</vt:lpstr>
      <vt:lpstr>Injuries_FBR</vt:lpstr>
      <vt:lpstr>Fatalities_PT</vt:lpstr>
      <vt:lpstr>Injuries_PT</vt:lpstr>
      <vt:lpstr>FATALITIES_5yr_avg</vt:lpstr>
      <vt:lpstr>SERIOUS INJURIES</vt:lpstr>
      <vt:lpstr>NM_Fat_Ser_Inj</vt:lpstr>
      <vt:lpstr>Bridge_Main_Who</vt:lpstr>
      <vt:lpstr>PED FATINJ</vt:lpstr>
      <vt:lpstr>BIKE FATINJ</vt:lpstr>
      <vt:lpstr>BRIDGES</vt:lpstr>
      <vt:lpstr>PAVEMENT INTERSTATE</vt:lpstr>
      <vt:lpstr>PAVEMENT NON-INTERSTATE</vt:lpstr>
      <vt:lpstr>TTTR Index</vt:lpstr>
      <vt:lpstr>Int Reliability</vt:lpstr>
      <vt:lpstr>Non-Int Reliability</vt:lpstr>
      <vt:lpstr>UL_FRB</vt:lpstr>
      <vt:lpstr>UL_CB</vt:lpstr>
      <vt:lpstr>UL_SA</vt:lpstr>
      <vt:lpstr>UL_ST</vt:lpstr>
      <vt:lpstr>Trirail_Loco</vt:lpstr>
      <vt:lpstr>Trirail_PER_R</vt:lpstr>
      <vt:lpstr>Trirail_Sup_Main</vt:lpstr>
      <vt:lpstr>PT_Safety_SC</vt:lpstr>
      <vt:lpstr>Trirail_Facilties</vt:lpstr>
      <vt:lpstr>Scorecard_Safety</vt:lpstr>
      <vt:lpstr>Scorecard_Infrastructure</vt:lpstr>
      <vt:lpstr>Scorecard_Sys_Per_Reli</vt:lpstr>
      <vt:lpstr>Scorecard_Transit_As_Man</vt:lpstr>
      <vt:lpstr>Scorecard_Transit_Safety</vt:lpstr>
      <vt:lpstr>Scorecard_All</vt:lpstr>
      <vt:lpstr>FATALITIES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Kan</dc:creator>
  <cp:lastModifiedBy>Sabrina Kan</cp:lastModifiedBy>
  <dcterms:created xsi:type="dcterms:W3CDTF">2025-09-16T17:46:53Z</dcterms:created>
  <dcterms:modified xsi:type="dcterms:W3CDTF">2026-08-13T13:25:33Z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0x010100E16646EAF80FAD4982FE70067F0C15B7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